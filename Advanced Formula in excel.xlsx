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ink/ink2.xml" ContentType="application/inkml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u\Downloads\"/>
    </mc:Choice>
  </mc:AlternateContent>
  <xr:revisionPtr revIDLastSave="0" documentId="13_ncr:1_{79E10266-0A52-40A7-88BE-F520955DB934}" xr6:coauthVersionLast="47" xr6:coauthVersionMax="47" xr10:uidLastSave="{00000000-0000-0000-0000-000000000000}"/>
  <bookViews>
    <workbookView xWindow="4524" yWindow="3360" windowWidth="17280" windowHeight="8880" firstSheet="6" activeTab="14" xr2:uid="{10BCC91C-90B6-48E7-94CA-AD09B4FBACC3}"/>
  </bookViews>
  <sheets>
    <sheet name="Duplicate actual" sheetId="17" r:id="rId1"/>
    <sheet name="actual" sheetId="1" r:id="rId2"/>
    <sheet name="pivot table" sheetId="18" r:id="rId3"/>
    <sheet name="pivot chart" sheetId="19" r:id="rId4"/>
    <sheet name="vlookup" sheetId="2" r:id="rId5"/>
    <sheet name="xlookup" sheetId="3" r:id="rId6"/>
    <sheet name="Index + Match " sheetId="4" r:id="rId7"/>
    <sheet name="Filter" sheetId="5" r:id="rId8"/>
    <sheet name="Dget" sheetId="6" r:id="rId9"/>
    <sheet name="Dsum" sheetId="8" r:id="rId10"/>
    <sheet name="Large ,small" sheetId="9" r:id="rId11"/>
    <sheet name="Sequence" sheetId="10" r:id="rId12"/>
    <sheet name="Sumifs" sheetId="7" r:id="rId13"/>
    <sheet name="Flashfill" sheetId="11" r:id="rId14"/>
    <sheet name="Edate" sheetId="12" r:id="rId15"/>
    <sheet name="Workdays" sheetId="13" r:id="rId16"/>
    <sheet name="Netwrokdays" sheetId="15" r:id="rId17"/>
  </sheets>
  <definedNames>
    <definedName name="_xlnm._FilterDatabase" localSheetId="1" hidden="1">actual!$A$1:$J$332</definedName>
    <definedName name="_xlnm._FilterDatabase" localSheetId="0" hidden="1">'Duplicate actual'!$B$1:$L$370</definedName>
  </definedName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2" l="1"/>
  <c r="D7" i="12"/>
  <c r="D8" i="12"/>
  <c r="D9" i="12"/>
  <c r="D10" i="12"/>
  <c r="D11" i="12"/>
  <c r="D12" i="12"/>
  <c r="D13" i="12"/>
  <c r="D14" i="12"/>
  <c r="D5" i="12"/>
  <c r="B11" i="5" a="1"/>
  <c r="B11" i="5" s="1"/>
  <c r="B2" i="4" a="1"/>
  <c r="B2" i="4" s="1"/>
  <c r="B3" i="3" a="1"/>
  <c r="B3" i="3" s="1"/>
  <c r="B4" i="3" a="1"/>
  <c r="B4" i="3"/>
  <c r="B5" i="3" a="1"/>
  <c r="B5" i="3"/>
  <c r="B6" i="3" a="1"/>
  <c r="B6" i="3"/>
  <c r="B7" i="3" a="1"/>
  <c r="B7" i="3"/>
  <c r="B8" i="3" a="1"/>
  <c r="B8" i="3"/>
  <c r="B9" i="3" a="1"/>
  <c r="B9" i="3" s="1"/>
  <c r="B10" i="3" a="1"/>
  <c r="B10" i="3"/>
  <c r="B2" i="3" a="1"/>
  <c r="B2" i="3" s="1"/>
  <c r="B3" i="2" a="1"/>
  <c r="B3" i="2"/>
  <c r="B4" i="2" a="1"/>
  <c r="B4" i="2" s="1"/>
  <c r="B5" i="2" a="1"/>
  <c r="B5" i="2"/>
  <c r="B6" i="2" a="1"/>
  <c r="B6" i="2" s="1"/>
  <c r="B7" i="2" a="1"/>
  <c r="B7" i="2" s="1"/>
  <c r="B8" i="2" a="1"/>
  <c r="B8" i="2" s="1"/>
  <c r="B9" i="2" a="1"/>
  <c r="B9" i="2"/>
  <c r="B10" i="2" a="1"/>
  <c r="B10" i="2" s="1"/>
  <c r="B2" i="2" a="1"/>
  <c r="B2" i="2" s="1"/>
  <c r="B2" i="7" a="1"/>
  <c r="B2" i="7" s="1"/>
  <c r="N2" i="7" s="1"/>
  <c r="E1" i="10" a="1"/>
  <c r="E1" i="10" s="1"/>
  <c r="A5" i="8"/>
  <c r="K6" i="15"/>
  <c r="K7" i="15"/>
  <c r="K8" i="15"/>
  <c r="K9" i="15"/>
  <c r="K10" i="15"/>
  <c r="K11" i="15"/>
  <c r="K12" i="15"/>
  <c r="K13" i="15"/>
  <c r="K14" i="15"/>
  <c r="K5" i="15"/>
  <c r="E6" i="15"/>
  <c r="E7" i="15"/>
  <c r="E8" i="15"/>
  <c r="E9" i="15"/>
  <c r="E10" i="15"/>
  <c r="E11" i="15"/>
  <c r="E12" i="15"/>
  <c r="E13" i="15"/>
  <c r="E14" i="15"/>
  <c r="E5" i="15"/>
  <c r="K6" i="13"/>
  <c r="K7" i="13"/>
  <c r="K8" i="13"/>
  <c r="K9" i="13"/>
  <c r="K10" i="13"/>
  <c r="K11" i="13"/>
  <c r="K12" i="13"/>
  <c r="K13" i="13"/>
  <c r="K14" i="13"/>
  <c r="K5" i="13"/>
  <c r="E6" i="13"/>
  <c r="E7" i="13"/>
  <c r="E8" i="13"/>
  <c r="E9" i="13"/>
  <c r="E10" i="13"/>
  <c r="E11" i="13"/>
  <c r="E12" i="13"/>
  <c r="E13" i="13"/>
  <c r="E14" i="13"/>
  <c r="E5" i="13"/>
  <c r="J6" i="12"/>
  <c r="J7" i="12"/>
  <c r="J8" i="12"/>
  <c r="J9" i="12"/>
  <c r="J10" i="12"/>
  <c r="J11" i="12"/>
  <c r="J12" i="12"/>
  <c r="J13" i="12"/>
  <c r="J14" i="12"/>
  <c r="J5" i="12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" i="7"/>
  <c r="N4" i="7"/>
  <c r="N5" i="7"/>
  <c r="N6" i="7"/>
  <c r="B2" i="6"/>
  <c r="C2" i="6" s="1"/>
  <c r="C1" i="10" a="1"/>
  <c r="C1" i="10" s="1"/>
  <c r="J2" i="9" a="1"/>
  <c r="J2" i="9" s="1"/>
  <c r="G2" i="9" a="1"/>
  <c r="G2" i="9" s="1"/>
  <c r="E2" i="8" a="1"/>
  <c r="E2" i="8" s="1"/>
  <c r="A1" i="8"/>
  <c r="A2" i="8"/>
  <c r="J3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<sst xmlns="http://schemas.openxmlformats.org/spreadsheetml/2006/main" count="6422" uniqueCount="542">
  <si>
    <t>Name</t>
  </si>
  <si>
    <t>Category</t>
  </si>
  <si>
    <t>Product Name</t>
  </si>
  <si>
    <t>Region</t>
  </si>
  <si>
    <t>City</t>
  </si>
  <si>
    <t>State</t>
  </si>
  <si>
    <t>Gender</t>
  </si>
  <si>
    <t>Quantity</t>
  </si>
  <si>
    <t>Rate</t>
  </si>
  <si>
    <t>Amount</t>
  </si>
  <si>
    <t>Bharat Innovations</t>
  </si>
  <si>
    <t>Electronic</t>
  </si>
  <si>
    <t>Speaker</t>
  </si>
  <si>
    <t>North</t>
  </si>
  <si>
    <t>Delhi</t>
  </si>
  <si>
    <t>Male</t>
  </si>
  <si>
    <t>Green Leaf Enterprises</t>
  </si>
  <si>
    <t>Earbuds</t>
  </si>
  <si>
    <t>West</t>
  </si>
  <si>
    <t>Mumbai</t>
  </si>
  <si>
    <t>Maharashtra</t>
  </si>
  <si>
    <t>Urban Pulse Technologies</t>
  </si>
  <si>
    <t>East</t>
  </si>
  <si>
    <t>Kolkata</t>
  </si>
  <si>
    <t>West Bengal</t>
  </si>
  <si>
    <t>Mystic India Exports</t>
  </si>
  <si>
    <t>South</t>
  </si>
  <si>
    <t>Chennai</t>
  </si>
  <si>
    <t>Tamil Nadu</t>
  </si>
  <si>
    <t>Golden Horizon Ventures</t>
  </si>
  <si>
    <t xml:space="preserve">Fashion </t>
  </si>
  <si>
    <t>Women dress</t>
  </si>
  <si>
    <t>Bengaluru</t>
  </si>
  <si>
    <t>Karnataka</t>
  </si>
  <si>
    <t>Eternal Traditions</t>
  </si>
  <si>
    <t>Hyderabad</t>
  </si>
  <si>
    <t>Telangana</t>
  </si>
  <si>
    <t>Apex Solutions</t>
  </si>
  <si>
    <t>Ahmedabad</t>
  </si>
  <si>
    <t>Gujarat</t>
  </si>
  <si>
    <t>Harmony Foods</t>
  </si>
  <si>
    <t>Pune</t>
  </si>
  <si>
    <t>Pure Essence Skincare</t>
  </si>
  <si>
    <t>Jaipur</t>
  </si>
  <si>
    <t>Rajasthan</t>
  </si>
  <si>
    <t>Female</t>
  </si>
  <si>
    <t>Zenith Construction Co.</t>
  </si>
  <si>
    <t>Surat</t>
  </si>
  <si>
    <t>Radiant Health Systems</t>
  </si>
  <si>
    <t>Lucknow</t>
  </si>
  <si>
    <t>Uttar Pradesh</t>
  </si>
  <si>
    <t>Divine Creations</t>
  </si>
  <si>
    <t>Kanpur</t>
  </si>
  <si>
    <t>Metro Tech Solutions</t>
  </si>
  <si>
    <t>Nagpur</t>
  </si>
  <si>
    <t>True Path Logistics</t>
  </si>
  <si>
    <t>Central</t>
  </si>
  <si>
    <t>Indore</t>
  </si>
  <si>
    <t>Madhya Pradesh</t>
  </si>
  <si>
    <t>Sacred Roots Apparel</t>
  </si>
  <si>
    <t>Male dress</t>
  </si>
  <si>
    <t>Thane</t>
  </si>
  <si>
    <t>Quantum Finance Services</t>
  </si>
  <si>
    <t>North (Union Territory)</t>
  </si>
  <si>
    <t>Chandigarh</t>
  </si>
  <si>
    <t>Brilliant Minds Academy</t>
  </si>
  <si>
    <t>Bhopal</t>
  </si>
  <si>
    <t>Visionary Holdings</t>
  </si>
  <si>
    <t>Visakhapatnam</t>
  </si>
  <si>
    <t>Andhra Pradesh</t>
  </si>
  <si>
    <t>Stellar Design Studio</t>
  </si>
  <si>
    <t>Patna</t>
  </si>
  <si>
    <t>Bihar</t>
  </si>
  <si>
    <t>Classic Cuisines</t>
  </si>
  <si>
    <t>Vadodara</t>
  </si>
  <si>
    <t>Bold Ventures</t>
  </si>
  <si>
    <t>Agra</t>
  </si>
  <si>
    <t>Prestige Automobiles</t>
  </si>
  <si>
    <t>TV</t>
  </si>
  <si>
    <t>Meerut</t>
  </si>
  <si>
    <t>Elite Marketing Solutions</t>
  </si>
  <si>
    <t>Coimbatore</t>
  </si>
  <si>
    <t>Natural Bliss Beverages</t>
  </si>
  <si>
    <t>Madurai</t>
  </si>
  <si>
    <t>Crystal Clear Solutions</t>
  </si>
  <si>
    <t>Jodhpur</t>
  </si>
  <si>
    <t>Modern Trends Fashion</t>
  </si>
  <si>
    <t>Varanasi</t>
  </si>
  <si>
    <t>Heritage Crafts</t>
  </si>
  <si>
    <t>Ranchi</t>
  </si>
  <si>
    <t>Jharkhand</t>
  </si>
  <si>
    <t>Future Insights Analytics</t>
  </si>
  <si>
    <t>Kochi</t>
  </si>
  <si>
    <t>Kerala</t>
  </si>
  <si>
    <t>Emerald Estate Developers</t>
  </si>
  <si>
    <t>Aurangabad</t>
  </si>
  <si>
    <t>Starlight Media Group</t>
  </si>
  <si>
    <t>Shimla</t>
  </si>
  <si>
    <t>Himachal Pradesh</t>
  </si>
  <si>
    <t>Supreme Electronics</t>
  </si>
  <si>
    <t>Dehradun</t>
  </si>
  <si>
    <t>Uttarakhand</t>
  </si>
  <si>
    <t>Optimum Wellness</t>
  </si>
  <si>
    <t>Northeast</t>
  </si>
  <si>
    <t>Guwahati</t>
  </si>
  <si>
    <t>Assam</t>
  </si>
  <si>
    <t>Zenith Books Publishing</t>
  </si>
  <si>
    <t>Amritsar</t>
  </si>
  <si>
    <t>Punjab</t>
  </si>
  <si>
    <t>Pinnacle Innovations</t>
  </si>
  <si>
    <t>Raipur</t>
  </si>
  <si>
    <t>Chhattisgarh</t>
  </si>
  <si>
    <t>Apex Travel Services</t>
  </si>
  <si>
    <t>Durgapur</t>
  </si>
  <si>
    <t>Golden Era Realty</t>
  </si>
  <si>
    <t>Radiant Jewelry</t>
  </si>
  <si>
    <t>Laptop</t>
  </si>
  <si>
    <t>Gwalior</t>
  </si>
  <si>
    <t>Infinity Ventures</t>
  </si>
  <si>
    <t>Jamshedpur</t>
  </si>
  <si>
    <t>Royal Taste Foods</t>
  </si>
  <si>
    <t>Siliguri</t>
  </si>
  <si>
    <t>Harmony Homes</t>
  </si>
  <si>
    <t>Mangalore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</si>
  <si>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</si>
  <si>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</si>
  <si>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</si>
  <si>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</si>
  <si>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</si>
  <si>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</si>
  <si>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</si>
  <si>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</si>
  <si>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</si>
  <si>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Saree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</si>
  <si>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</si>
  <si>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</si>
  <si>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</si>
  <si>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</si>
  <si>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</si>
  <si>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</si>
  <si>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Crystal Waters Resort</t>
  </si>
  <si>
    <t>Excellence Tutors</t>
  </si>
  <si>
    <t>Horizon Builders</t>
  </si>
  <si>
    <t>Synergy Tech Solutions</t>
  </si>
  <si>
    <t>Classic Heritage Crafts</t>
  </si>
  <si>
    <t>Prime Focus Media</t>
  </si>
  <si>
    <t>Suit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</si>
  <si>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</si>
  <si>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</si>
  <si>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</si>
  <si>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</si>
  <si>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</si>
  <si>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</si>
  <si>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</si>
  <si>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</si>
  <si>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</si>
  <si>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</si>
  <si>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Horizon Wellness</t>
  </si>
  <si>
    <t>Decor</t>
  </si>
  <si>
    <t>Car accessories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</si>
  <si>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</si>
  <si>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</si>
  <si>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</si>
  <si>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</si>
  <si>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</si>
  <si>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</si>
  <si>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</si>
  <si>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</si>
  <si>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</si>
  <si>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</si>
  <si>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</si>
  <si>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</si>
  <si>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</si>
  <si>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</si>
  <si>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</si>
  <si>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</si>
  <si>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</si>
  <si>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</si>
  <si>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Home décor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</si>
  <si>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</si>
  <si>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</si>
  <si>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</si>
  <si>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</si>
  <si>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</si>
  <si>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</si>
  <si>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</si>
  <si>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</si>
  <si>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</si>
  <si>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</si>
  <si>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</si>
  <si>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</si>
  <si>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</si>
  <si>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</si>
  <si>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</si>
  <si>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</si>
  <si>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</si>
  <si>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</si>
  <si>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</si>
  <si>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</si>
  <si>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</si>
  <si>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Apex Travel Ventures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</si>
  <si>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</si>
  <si>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</si>
  <si>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</si>
  <si>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</si>
  <si>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</si>
  <si>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</si>
  <si>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</si>
  <si>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</si>
  <si>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</si>
  <si>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</si>
  <si>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</si>
  <si>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</si>
  <si>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</si>
  <si>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</si>
  <si>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</si>
  <si>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</si>
  <si>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</si>
  <si>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</si>
  <si>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</si>
  <si>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</si>
  <si>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</si>
  <si>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</si>
  <si>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</si>
  <si>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</si>
  <si>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</si>
  <si>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</si>
  <si>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</si>
  <si>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</si>
  <si>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</si>
  <si>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</si>
  <si>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</si>
  <si>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</si>
  <si>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</si>
  <si>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</si>
  <si>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</si>
  <si>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</si>
  <si>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</si>
  <si>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</si>
  <si>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</si>
  <si>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</si>
  <si>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</si>
  <si>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</si>
  <si>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</si>
  <si>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</si>
  <si>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</si>
  <si>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</si>
  <si>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</si>
  <si>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</si>
  <si>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</si>
  <si>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</si>
  <si>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</si>
  <si>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</si>
  <si>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</si>
  <si>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</si>
  <si>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</si>
  <si>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</si>
  <si>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</si>
  <si>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</si>
  <si>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</si>
  <si>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</si>
  <si>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</si>
  <si>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</si>
  <si>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</si>
  <si>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</si>
  <si>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</si>
  <si>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</si>
  <si>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</si>
  <si>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</si>
  <si>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</si>
  <si>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</si>
  <si>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</si>
  <si>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</si>
  <si>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</si>
  <si>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</si>
  <si>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</si>
  <si>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</si>
  <si>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</si>
  <si>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</si>
  <si>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</si>
  <si>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</si>
  <si>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</si>
  <si>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</si>
  <si>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</si>
  <si>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</si>
  <si>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</si>
  <si>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</si>
  <si>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</si>
  <si>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</si>
  <si>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</si>
  <si>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</si>
  <si>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</si>
  <si>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</si>
  <si>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</si>
  <si>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</si>
  <si>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</si>
  <si>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</si>
  <si>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</si>
  <si>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</si>
  <si>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</si>
  <si>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</si>
  <si>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</si>
  <si>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True Essence Innovations</t>
  </si>
  <si>
    <t>Pinnacle Media Group</t>
  </si>
  <si>
    <t>Legacy Design Co.</t>
  </si>
  <si>
    <t>Apex Health Products</t>
  </si>
  <si>
    <t>Zenith Travel Ventures</t>
  </si>
  <si>
    <t>Pure Path Consulting</t>
  </si>
  <si>
    <t>Radiance Solutions Co.</t>
  </si>
  <si>
    <t>Modern Vision Ventures</t>
  </si>
  <si>
    <t>Elite Travel Services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</si>
  <si>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</si>
  <si>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</si>
  <si>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</si>
  <si>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</si>
  <si>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</si>
  <si>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</si>
  <si>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</si>
  <si>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</si>
  <si>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</si>
  <si>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</si>
  <si>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</si>
  <si>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</si>
  <si>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</si>
  <si>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</si>
  <si>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</si>
  <si>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</si>
  <si>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</si>
  <si>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</si>
  <si>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</si>
  <si>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</si>
  <si>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</si>
  <si>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Urban Vision Solutions</t>
  </si>
  <si>
    <t>Pure Harmony Innovations</t>
  </si>
  <si>
    <t>Legacy Media Group</t>
  </si>
  <si>
    <t>Pinnacle Travel Solutions</t>
  </si>
  <si>
    <t>Horizon Tech Innovations</t>
  </si>
  <si>
    <t>Crystal Spectrum Consulting</t>
  </si>
  <si>
    <t>Stellar Creative Co.</t>
  </si>
  <si>
    <t>Radiance Media Ventures</t>
  </si>
  <si>
    <t>Harmony Health Solutions</t>
  </si>
  <si>
    <t>Zenith Edge Services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</si>
  <si>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</si>
  <si>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</si>
  <si>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</si>
  <si>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</si>
  <si>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</si>
  <si>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</si>
  <si>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</si>
  <si>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</si>
  <si>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Crystal Wellness Group</t>
  </si>
  <si>
    <t>Zenith Creative Solutions</t>
  </si>
  <si>
    <t>Apex Media Co.</t>
  </si>
  <si>
    <t>Pure Vision Solutions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</si>
  <si>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</si>
  <si>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</si>
  <si>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</si>
  <si>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</si>
  <si>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</si>
  <si>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</si>
  <si>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</si>
  <si>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</si>
  <si>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</si>
  <si>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</si>
  <si>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</si>
  <si>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</si>
  <si>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</si>
  <si>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</si>
  <si>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</si>
  <si>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</si>
  <si>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</si>
  <si>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</si>
  <si>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</si>
  <si>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</si>
  <si>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</si>
  <si>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</si>
  <si>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</si>
  <si>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</si>
  <si>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</si>
  <si>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</si>
  <si>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</si>
  <si>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Apex Finance Ventures</t>
  </si>
  <si>
    <t>Legacy Travel Co.</t>
  </si>
  <si>
    <t>Pinnacle Innovations Group</t>
  </si>
  <si>
    <t>Radiance Design Co.</t>
  </si>
  <si>
    <t>Zenith Path Solutions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</si>
  <si>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</si>
  <si>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</si>
  <si>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</si>
  <si>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</si>
  <si>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</si>
  <si>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</si>
  <si>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</si>
  <si>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</si>
  <si>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</si>
  <si>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</si>
  <si>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</si>
  <si>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</si>
  <si>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</si>
  <si>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</si>
  <si>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</si>
  <si>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Harmony Ventures Group</t>
  </si>
  <si>
    <t>Zenith Wellness Co.</t>
  </si>
  <si>
    <t>Apex Design Services</t>
  </si>
  <si>
    <t>Modern Travel Solutions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</si>
  <si>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</si>
  <si>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</si>
  <si>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</si>
  <si>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</si>
  <si>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</si>
  <si>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</si>
  <si>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Zenith Tech Solutions</t>
  </si>
  <si>
    <t>Apex Finance Group</t>
  </si>
  <si>
    <t>Pure Harmony Media</t>
  </si>
  <si>
    <t>Legacy Health Co.</t>
  </si>
  <si>
    <t>Create Search Box Using Filter Formula</t>
  </si>
  <si>
    <t>Sales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</si>
  <si>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</si>
  <si>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</si>
  <si>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</si>
  <si>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</si>
  <si>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</si>
  <si>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</si>
  <si>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</si>
  <si>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</si>
  <si>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</si>
  <si>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</si>
  <si>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</si>
  <si>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</si>
  <si>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</si>
  <si>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Dsum</t>
  </si>
  <si>
    <t>Party Names</t>
  </si>
  <si>
    <t>Rank</t>
  </si>
  <si>
    <t>Number</t>
  </si>
  <si>
    <t>Party Name</t>
  </si>
  <si>
    <t>Total</t>
  </si>
  <si>
    <t>Names</t>
  </si>
  <si>
    <t>First Name</t>
  </si>
  <si>
    <t>Last Name</t>
  </si>
  <si>
    <t>Email</t>
  </si>
  <si>
    <t>Flash Fill</t>
  </si>
  <si>
    <t>Aarav Sharma</t>
  </si>
  <si>
    <t>Priya Kapoor</t>
  </si>
  <si>
    <t>Rohan Gupta</t>
  </si>
  <si>
    <t>Neha Desai</t>
  </si>
  <si>
    <t>Vijay Patel</t>
  </si>
  <si>
    <t>Ananya Iyer</t>
  </si>
  <si>
    <t>Arjun Rao</t>
  </si>
  <si>
    <t>Sneha Mehta</t>
  </si>
  <si>
    <t>Karthik Reddy</t>
  </si>
  <si>
    <t>Simran Choudhury</t>
  </si>
  <si>
    <t>Rajesh Kumar</t>
  </si>
  <si>
    <t>Aishwarya Singh</t>
  </si>
  <si>
    <t>Rohit Verma</t>
  </si>
  <si>
    <t>Pooja Bhattacharya</t>
  </si>
  <si>
    <t>Suresh Nair</t>
  </si>
  <si>
    <t>Manisha Joshi</t>
  </si>
  <si>
    <t>Ravi Yadav</t>
  </si>
  <si>
    <t>Shruti Sinha</t>
  </si>
  <si>
    <t>Vikram Bhatia</t>
  </si>
  <si>
    <t>Deepika Agarwal</t>
  </si>
  <si>
    <t>Date</t>
  </si>
  <si>
    <t>Months</t>
  </si>
  <si>
    <t>Edate</t>
  </si>
  <si>
    <t>Workday</t>
  </si>
  <si>
    <t>Workday.intl</t>
  </si>
  <si>
    <t>Workday &amp; Workday.INTl</t>
  </si>
  <si>
    <t>Days</t>
  </si>
  <si>
    <t>End Date</t>
  </si>
  <si>
    <t>End date</t>
  </si>
  <si>
    <t>Start Date</t>
  </si>
  <si>
    <t>Networkdays</t>
  </si>
  <si>
    <t>Networkdays.INTL</t>
  </si>
  <si>
    <t>Aarav</t>
  </si>
  <si>
    <t>Priya</t>
  </si>
  <si>
    <t>Rohan</t>
  </si>
  <si>
    <t>Neha</t>
  </si>
  <si>
    <t>Vijay</t>
  </si>
  <si>
    <t>Ananya</t>
  </si>
  <si>
    <t>Arjun</t>
  </si>
  <si>
    <t>Sneha</t>
  </si>
  <si>
    <t>Karthik</t>
  </si>
  <si>
    <t>Simran</t>
  </si>
  <si>
    <t>Rajesh</t>
  </si>
  <si>
    <t>Aishwarya</t>
  </si>
  <si>
    <t>Rohit</t>
  </si>
  <si>
    <t>Pooja</t>
  </si>
  <si>
    <t>Suresh</t>
  </si>
  <si>
    <t>Manisha</t>
  </si>
  <si>
    <t>Ravi</t>
  </si>
  <si>
    <t>Shruti</t>
  </si>
  <si>
    <t>Vikram</t>
  </si>
  <si>
    <t>Sharma</t>
  </si>
  <si>
    <t>Kapoor</t>
  </si>
  <si>
    <t>Gupta</t>
  </si>
  <si>
    <t>Desai</t>
  </si>
  <si>
    <t>Patel</t>
  </si>
  <si>
    <t>Iyer</t>
  </si>
  <si>
    <t>Rao</t>
  </si>
  <si>
    <t>Mehta</t>
  </si>
  <si>
    <t>Reddy</t>
  </si>
  <si>
    <t>Choudhury</t>
  </si>
  <si>
    <t>Kumar</t>
  </si>
  <si>
    <t>Singh</t>
  </si>
  <si>
    <t>Verma</t>
  </si>
  <si>
    <t>Bhattacharya</t>
  </si>
  <si>
    <t>Nair</t>
  </si>
  <si>
    <t>Joshi</t>
  </si>
  <si>
    <t>Yadav</t>
  </si>
  <si>
    <t>Sinha</t>
  </si>
  <si>
    <t>Bhatia</t>
  </si>
  <si>
    <t>Deepika</t>
  </si>
  <si>
    <t>Agarwal</t>
  </si>
  <si>
    <t>aaravsharma@gmail.com</t>
  </si>
  <si>
    <t>priyakapoor@gmail.com</t>
  </si>
  <si>
    <t>rohangupta@gmail.com</t>
  </si>
  <si>
    <t>nehadesai@gmail.com</t>
  </si>
  <si>
    <t>vijaypatel@gmail.com</t>
  </si>
  <si>
    <t>ananyaiyer@gmail.com</t>
  </si>
  <si>
    <t>arjunrao@gmail.com</t>
  </si>
  <si>
    <t>snehamehta@gmail.com</t>
  </si>
  <si>
    <t>karthikreddy@gmail.com</t>
  </si>
  <si>
    <t>simranchoudhury@gmail.com</t>
  </si>
  <si>
    <t>rajeshkumar@gmail.com</t>
  </si>
  <si>
    <t>aishwaryasingh@gmail.com</t>
  </si>
  <si>
    <t>rohitverma@gmail.com</t>
  </si>
  <si>
    <t>poojabhattacharya@gmail.com</t>
  </si>
  <si>
    <t>sureshnair@gmail.com</t>
  </si>
  <si>
    <t>manishajoshi@gmail.com</t>
  </si>
  <si>
    <t>raviyadav@gmail.com</t>
  </si>
  <si>
    <t>shrutisinha@gmail.com</t>
  </si>
  <si>
    <t>vikrambhatia@gmail.com</t>
  </si>
  <si>
    <t>deepikaagarwal@gmail.com</t>
  </si>
  <si>
    <t>Row Labels</t>
  </si>
  <si>
    <t>(blank)</t>
  </si>
  <si>
    <t>Grand Total</t>
  </si>
  <si>
    <t>Column Labels</t>
  </si>
  <si>
    <t>(All)</t>
  </si>
  <si>
    <t>Sum of Quantity</t>
  </si>
  <si>
    <t>Total Sum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</si>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</sst>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3" fontId="3" fillId="0" borderId="0" xfId="1" applyFont="1"/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4" borderId="0" xfId="0" applyFont="1" applyFill="1"/>
    <xf numFmtId="0" fontId="9" fillId="4" borderId="0" xfId="0" applyFont="1" applyFill="1"/>
    <xf numFmtId="0" fontId="8" fillId="5" borderId="0" xfId="0" applyFont="1" applyFill="1"/>
    <xf numFmtId="0" fontId="0" fillId="5" borderId="0" xfId="0" applyFill="1"/>
    <xf numFmtId="0" fontId="3" fillId="0" borderId="6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/>
    <xf numFmtId="0" fontId="9" fillId="6" borderId="7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2" borderId="1" xfId="2" applyFont="1" applyAlignment="1">
      <alignment horizontal="center" vertical="center"/>
    </xf>
    <xf numFmtId="0" fontId="2" fillId="6" borderId="1" xfId="2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164" fontId="0" fillId="0" borderId="0" xfId="0" applyNumberFormat="1"/>
    <xf numFmtId="0" fontId="13" fillId="0" borderId="0" xfId="3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Note" xfId="2" builtinId="1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medium">
          <color indexed="64"/>
        </right>
        <top style="double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C30CA2-2617-4DC9-85CA-D90678C1FE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Formula in excel.xlsx]pivot chart!PivotTable2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chart'!$B$6:$B$8</c:f>
              <c:strCache>
                <c:ptCount val="1"/>
                <c:pt idx="0">
                  <c:v>Electronic - Average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chart'!$A$9:$A$13</c:f>
              <c:strCache>
                <c:ptCount val="4"/>
                <c:pt idx="0">
                  <c:v>Earbuds</c:v>
                </c:pt>
                <c:pt idx="1">
                  <c:v>Laptop</c:v>
                </c:pt>
                <c:pt idx="2">
                  <c:v>Speaker</c:v>
                </c:pt>
                <c:pt idx="3">
                  <c:v>TV</c:v>
                </c:pt>
              </c:strCache>
            </c:strRef>
          </c:cat>
          <c:val>
            <c:numRef>
              <c:f>'pivot chart'!$B$9:$B$13</c:f>
              <c:numCache>
                <c:formatCode>General</c:formatCode>
                <c:ptCount val="4"/>
                <c:pt idx="0">
                  <c:v>2987265</c:v>
                </c:pt>
                <c:pt idx="1">
                  <c:v>3721130.0833333335</c:v>
                </c:pt>
                <c:pt idx="2">
                  <c:v>4477042.75</c:v>
                </c:pt>
                <c:pt idx="3">
                  <c:v>4132453.1176470588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1-4DB9-8A25-AC73F58E502B}"/>
            </c:ext>
          </c:extLst>
        </c:ser>
        <c:ser>
          <c:idx val="1"/>
          <c:order val="1"/>
          <c:tx>
            <c:strRef>
              <c:f>'pivot chart'!$C$6:$C$8</c:f>
              <c:strCache>
                <c:ptCount val="1"/>
                <c:pt idx="0">
                  <c:v>Electronic - 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chart'!$A$9:$A$13</c:f>
              <c:strCache>
                <c:ptCount val="4"/>
                <c:pt idx="0">
                  <c:v>Earbuds</c:v>
                </c:pt>
                <c:pt idx="1">
                  <c:v>Laptop</c:v>
                </c:pt>
                <c:pt idx="2">
                  <c:v>Speaker</c:v>
                </c:pt>
                <c:pt idx="3">
                  <c:v>TV</c:v>
                </c:pt>
              </c:strCache>
            </c:strRef>
          </c:cat>
          <c:val>
            <c:numRef>
              <c:f>'pivot chart'!$C$9:$C$13</c:f>
              <c:numCache>
                <c:formatCode>General</c:formatCode>
                <c:ptCount val="4"/>
                <c:pt idx="0">
                  <c:v>24229</c:v>
                </c:pt>
                <c:pt idx="1">
                  <c:v>128505</c:v>
                </c:pt>
                <c:pt idx="2">
                  <c:v>23204</c:v>
                </c:pt>
                <c:pt idx="3">
                  <c:v>92767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1-4DB9-8A25-AC73F58E5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59551"/>
        <c:axId val="65558591"/>
      </c:barChart>
      <c:catAx>
        <c:axId val="6555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8591"/>
        <c:crosses val="autoZero"/>
        <c:auto val="1"/>
        <c:lblAlgn val="ctr"/>
        <c:lblOffset val="100"/>
        <c:noMultiLvlLbl val="0"/>
      </c:catAx>
      <c:valAx>
        <c:axId val="6555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616980</xdr:colOff>
      <xdr:row>369</xdr:row>
      <xdr:rowOff>83880</xdr:rowOff>
    </xdr:from>
    <xdr:to>
      <xdr:col>11</xdr:col>
      <xdr:colOff>635700</xdr:colOff>
      <xdr:row>369</xdr:row>
      <xdr:rowOff>84240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9EDB781-44BC-4657-A3FC-DEBF71A86DD2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616980</xdr:colOff>
      <xdr:row>331</xdr:row>
      <xdr:rowOff>83880</xdr:rowOff>
    </xdr:from>
    <xdr:to>
      <xdr:col>9</xdr:col>
      <xdr:colOff>635700</xdr:colOff>
      <xdr:row>331</xdr:row>
      <xdr:rowOff>83880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A23A179-9D68-4FC1-9CE7-573CDEB1943D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3</xdr:row>
      <xdr:rowOff>19050</xdr:rowOff>
    </xdr:from>
    <xdr:to>
      <xdr:col>8</xdr:col>
      <xdr:colOff>487680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1047D-498E-59A3-665C-65F2FC6D3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7T07:28:16.98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7T06:47:55.38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 SHARUN" refreshedDate="46025.654992592594" createdVersion="8" refreshedVersion="8" minRefreshableVersion="3" recordCount="331" xr:uid="{DB8A74F5-41BA-4E35-BFDB-5ADE43797288}">
  <cacheSource type="worksheet">
    <worksheetSource name="Table1"/>
  </cacheSource>
  <cacheFields count="10">
    <cacheField name="Name" numFmtId="0">
      <sharedItems containsBlank="1"/>
    </cacheField>
    <cacheField name="Category" numFmtId="0">
      <sharedItems containsBlank="1" count="4">
        <s v="Electronic"/>
        <s v="Fashion "/>
        <s v="Decor"/>
        <m/>
      </sharedItems>
    </cacheField>
    <cacheField name="Product Name" numFmtId="0">
      <sharedItems containsBlank="1" count="11">
        <s v="Speaker"/>
        <s v="Earbuds"/>
        <s v="Women dress"/>
        <s v="Male dress"/>
        <s v="TV"/>
        <s v="Laptop"/>
        <s v="Saree"/>
        <s v="Suit"/>
        <s v="Car accessories"/>
        <s v="Home décor"/>
        <m/>
      </sharedItems>
    </cacheField>
    <cacheField name="Region" numFmtId="0">
      <sharedItems containsBlank="1" count="8">
        <s v="North"/>
        <s v="West"/>
        <s v="East"/>
        <s v="South"/>
        <s v="Central"/>
        <s v="North (Union Territory)"/>
        <s v="Northeast"/>
        <m/>
      </sharedItems>
    </cacheField>
    <cacheField name="City" numFmtId="0">
      <sharedItems containsBlank="1"/>
    </cacheField>
    <cacheField name="State" numFmtId="0">
      <sharedItems containsBlank="1" count="21">
        <s v="Delhi"/>
        <s v="Maharashtra"/>
        <s v="West Bengal"/>
        <s v="Tamil Nadu"/>
        <s v="Karnataka"/>
        <s v="Telangana"/>
        <s v="Gujarat"/>
        <s v="Rajasthan"/>
        <s v="Uttar Pradesh"/>
        <s v="Madhya Pradesh"/>
        <s v="Chandigarh"/>
        <s v="Andhra Pradesh"/>
        <s v="Bihar"/>
        <s v="Jharkhand"/>
        <s v="Kerala"/>
        <s v="Himachal Pradesh"/>
        <s v="Uttarakhand"/>
        <s v="Assam"/>
        <s v="Punjab"/>
        <s v="Chhattisgarh"/>
        <m/>
      </sharedItems>
    </cacheField>
    <cacheField name="Gender" numFmtId="0">
      <sharedItems containsBlank="1" count="3">
        <s v="Male"/>
        <s v="Female"/>
        <m/>
      </sharedItems>
    </cacheField>
    <cacheField name="Quantity" numFmtId="0">
      <sharedItems containsString="0" containsBlank="1" containsNumber="1" containsInteger="1" minValue="1567" maxValue="9981" count="324">
        <n v="4292"/>
        <n v="8037"/>
        <n v="2415"/>
        <n v="3941"/>
        <n v="4607"/>
        <n v="4261"/>
        <n v="9084"/>
        <n v="6694"/>
        <n v="2678"/>
        <n v="1631"/>
        <n v="4171"/>
        <n v="4283"/>
        <n v="4249"/>
        <n v="1902"/>
        <n v="6166"/>
        <n v="3669"/>
        <n v="4667"/>
        <n v="6722"/>
        <n v="8821"/>
        <n v="5603"/>
        <n v="9513"/>
        <n v="9633"/>
        <n v="4332"/>
        <n v="1995"/>
        <n v="3691"/>
        <n v="2570"/>
        <n v="2952"/>
        <n v="1992"/>
        <n v="2907"/>
        <n v="2936"/>
        <n v="1784"/>
        <n v="3010"/>
        <n v="9118"/>
        <n v="7291"/>
        <n v="3141"/>
        <n v="7170"/>
        <n v="4724"/>
        <n v="5398"/>
        <n v="9466"/>
        <n v="4168"/>
        <n v="5773"/>
        <n v="8417"/>
        <n v="4691"/>
        <n v="5945"/>
        <n v="6807"/>
        <n v="3546"/>
        <n v="9463"/>
        <n v="9927"/>
        <n v="1666"/>
        <n v="9392"/>
        <n v="7124"/>
        <n v="9636"/>
        <n v="6596"/>
        <n v="6338"/>
        <n v="8446"/>
        <n v="9102"/>
        <n v="3887"/>
        <n v="9519"/>
        <n v="8983"/>
        <n v="6892"/>
        <n v="6946"/>
        <n v="8990"/>
        <n v="5594"/>
        <n v="5491"/>
        <n v="7225"/>
        <n v="2966"/>
        <n v="2421"/>
        <n v="8893"/>
        <n v="4938"/>
        <n v="4836"/>
        <n v="3490"/>
        <n v="1921"/>
        <n v="5036"/>
        <n v="6124"/>
        <n v="6233"/>
        <n v="9156"/>
        <n v="3687"/>
        <n v="3165"/>
        <n v="1580"/>
        <n v="5627"/>
        <n v="3396"/>
        <n v="7609"/>
        <n v="2460"/>
        <n v="8048"/>
        <n v="6821"/>
        <n v="1898"/>
        <n v="8320"/>
        <n v="7085"/>
        <n v="7382"/>
        <n v="4636"/>
        <n v="2540"/>
        <n v="6995"/>
        <n v="8442"/>
        <n v="8766"/>
        <n v="2645"/>
        <n v="4794"/>
        <n v="4067"/>
        <n v="7217"/>
        <n v="1885"/>
        <n v="8921"/>
        <n v="3074"/>
        <n v="6116"/>
        <n v="5729"/>
        <n v="7181"/>
        <n v="9034"/>
        <n v="6005"/>
        <n v="5261"/>
        <n v="5989"/>
        <n v="6350"/>
        <n v="9014"/>
        <n v="9418"/>
        <n v="8665"/>
        <n v="5344"/>
        <n v="7204"/>
        <n v="5004"/>
        <n v="2162"/>
        <n v="6223"/>
        <n v="5481"/>
        <n v="7362"/>
        <n v="6176"/>
        <n v="6492"/>
        <n v="5268"/>
        <n v="2613"/>
        <n v="3530"/>
        <n v="6376"/>
        <n v="5087"/>
        <n v="8044"/>
        <n v="4427"/>
        <n v="5689"/>
        <n v="2431"/>
        <n v="1567"/>
        <n v="4760"/>
        <n v="2605"/>
        <n v="8431"/>
        <n v="5487"/>
        <n v="3782"/>
        <n v="2743"/>
        <n v="4239"/>
        <n v="7544"/>
        <n v="3400"/>
        <n v="1964"/>
        <n v="4945"/>
        <n v="5530"/>
        <n v="4862"/>
        <n v="9354"/>
        <n v="4121"/>
        <n v="9914"/>
        <n v="2904"/>
        <n v="9981"/>
        <n v="3876"/>
        <n v="8887"/>
        <n v="3673"/>
        <n v="7588"/>
        <n v="5137"/>
        <n v="5813"/>
        <n v="7330"/>
        <n v="8139"/>
        <n v="8203"/>
        <n v="1918"/>
        <n v="7692"/>
        <n v="8066"/>
        <n v="5931"/>
        <n v="5555"/>
        <n v="7543"/>
        <n v="7725"/>
        <n v="7125"/>
        <n v="6571"/>
        <n v="6742"/>
        <n v="7493"/>
        <n v="2130"/>
        <n v="4543"/>
        <n v="6128"/>
        <n v="6210"/>
        <n v="8028"/>
        <n v="2734"/>
        <n v="2144"/>
        <n v="4799"/>
        <n v="4448"/>
        <n v="9290"/>
        <n v="9736"/>
        <n v="9499"/>
        <n v="4981"/>
        <n v="2084"/>
        <n v="4280"/>
        <n v="8113"/>
        <n v="4722"/>
        <n v="7358"/>
        <n v="2970"/>
        <n v="1939"/>
        <n v="5112"/>
        <n v="6357"/>
        <n v="4535"/>
        <n v="3944"/>
        <n v="2920"/>
        <n v="1791"/>
        <n v="4740"/>
        <n v="2665"/>
        <n v="5636"/>
        <n v="5928"/>
        <n v="9498"/>
        <n v="9558"/>
        <n v="2428"/>
        <n v="7389"/>
        <n v="3703"/>
        <n v="6133"/>
        <n v="7380"/>
        <n v="2440"/>
        <n v="4296"/>
        <n v="9072"/>
        <n v="6331"/>
        <n v="5511"/>
        <n v="7070"/>
        <n v="4761"/>
        <n v="8127"/>
        <n v="7794"/>
        <n v="7427"/>
        <n v="1929"/>
        <n v="5142"/>
        <n v="6102"/>
        <n v="8613"/>
        <n v="1735"/>
        <n v="4013"/>
        <n v="1882"/>
        <n v="3794"/>
        <n v="2105"/>
        <n v="7654"/>
        <n v="9045"/>
        <n v="2088"/>
        <n v="3793"/>
        <n v="6566"/>
        <n v="5152"/>
        <n v="2714"/>
        <n v="7249"/>
        <n v="7924"/>
        <n v="6728"/>
        <n v="6384"/>
        <n v="3372"/>
        <n v="1817"/>
        <n v="3910"/>
        <n v="9238"/>
        <n v="8891"/>
        <n v="5367"/>
        <n v="5733"/>
        <n v="6120"/>
        <n v="4560"/>
        <n v="7880"/>
        <n v="4940"/>
        <n v="4721"/>
        <n v="2837"/>
        <n v="2085"/>
        <n v="2616"/>
        <n v="6023"/>
        <n v="6681"/>
        <n v="8243"/>
        <n v="9739"/>
        <n v="1974"/>
        <n v="7991"/>
        <n v="1888"/>
        <n v="3251"/>
        <n v="7341"/>
        <n v="7168"/>
        <n v="8503"/>
        <n v="3099"/>
        <n v="2916"/>
        <n v="5674"/>
        <n v="4048"/>
        <n v="1663"/>
        <n v="9541"/>
        <n v="3649"/>
        <n v="1737"/>
        <n v="7995"/>
        <n v="5228"/>
        <n v="7710"/>
        <n v="3333"/>
        <n v="9277"/>
        <n v="4277"/>
        <n v="1696"/>
        <n v="7071"/>
        <n v="2536"/>
        <n v="7823"/>
        <n v="7275"/>
        <n v="8910"/>
        <n v="2683"/>
        <n v="7046"/>
        <n v="9395"/>
        <n v="5242"/>
        <n v="9909"/>
        <n v="2005"/>
        <n v="1891"/>
        <n v="6839"/>
        <n v="8854"/>
        <n v="8143"/>
        <n v="8069"/>
        <n v="2268"/>
        <n v="2576"/>
        <n v="7694"/>
        <n v="8952"/>
        <n v="5764"/>
        <n v="9098"/>
        <n v="2777"/>
        <n v="9218"/>
        <n v="6785"/>
        <n v="1980"/>
        <n v="6082"/>
        <n v="9433"/>
        <n v="5549"/>
        <n v="2572"/>
        <n v="5503"/>
        <n v="5562"/>
        <n v="2344"/>
        <n v="6278"/>
        <n v="9561"/>
        <n v="5507"/>
        <n v="9862"/>
        <n v="9694"/>
        <n v="7329"/>
        <n v="6427"/>
        <n v="8915"/>
        <n v="4848"/>
        <n v="5990"/>
        <n v="6726"/>
        <n v="5686"/>
        <n v="5246"/>
        <m/>
      </sharedItems>
    </cacheField>
    <cacheField name="Rate" numFmtId="0">
      <sharedItems containsString="0" containsBlank="1" containsNumber="1" containsInteger="1" minValue="500" maxValue="997" count="243">
        <n v="783"/>
        <n v="578"/>
        <n v="631"/>
        <n v="905"/>
        <n v="813"/>
        <n v="954"/>
        <n v="610"/>
        <n v="742"/>
        <n v="567"/>
        <n v="508"/>
        <n v="643"/>
        <n v="804"/>
        <n v="842"/>
        <n v="671"/>
        <n v="894"/>
        <n v="541"/>
        <n v="646"/>
        <n v="611"/>
        <n v="632"/>
        <n v="891"/>
        <n v="858"/>
        <n v="897"/>
        <n v="940"/>
        <n v="704"/>
        <n v="972"/>
        <n v="538"/>
        <n v="750"/>
        <n v="558"/>
        <n v="799"/>
        <n v="603"/>
        <n v="694"/>
        <n v="837"/>
        <n v="834"/>
        <n v="521"/>
        <n v="951"/>
        <n v="832"/>
        <n v="933"/>
        <n v="769"/>
        <n v="627"/>
        <n v="918"/>
        <n v="901"/>
        <n v="887"/>
        <n v="607"/>
        <n v="562"/>
        <n v="615"/>
        <n v="714"/>
        <n v="693"/>
        <n v="873"/>
        <n v="811"/>
        <n v="540"/>
        <n v="812"/>
        <n v="912"/>
        <n v="970"/>
        <n v="840"/>
        <n v="882"/>
        <n v="666"/>
        <n v="601"/>
        <n v="711"/>
        <n v="977"/>
        <n v="765"/>
        <n v="848"/>
        <n v="726"/>
        <n v="889"/>
        <n v="568"/>
        <n v="745"/>
        <n v="634"/>
        <n v="675"/>
        <n v="778"/>
        <n v="867"/>
        <n v="903"/>
        <n v="718"/>
        <n v="539"/>
        <n v="865"/>
        <n v="636"/>
        <n v="571"/>
        <n v="648"/>
        <n v="871"/>
        <n v="701"/>
        <n v="980"/>
        <n v="866"/>
        <n v="976"/>
        <n v="735"/>
        <n v="959"/>
        <n v="618"/>
        <n v="513"/>
        <n v="703"/>
        <n v="710"/>
        <n v="949"/>
        <n v="935"/>
        <n v="593"/>
        <n v="501"/>
        <n v="869"/>
        <n v="699"/>
        <n v="753"/>
        <n v="668"/>
        <n v="730"/>
        <n v="739"/>
        <n v="626"/>
        <n v="687"/>
        <n v="743"/>
        <n v="500"/>
        <n v="944"/>
        <n v="681"/>
        <n v="880"/>
        <n v="639"/>
        <n v="992"/>
        <n v="910"/>
        <n v="909"/>
        <n v="555"/>
        <n v="818"/>
        <n v="827"/>
        <n v="556"/>
        <n v="781"/>
        <n v="737"/>
        <n v="507"/>
        <n v="879"/>
        <n v="528"/>
        <n v="575"/>
        <n v="922"/>
        <n v="948"/>
        <n v="787"/>
        <n v="938"/>
        <n v="777"/>
        <n v="899"/>
        <n v="904"/>
        <n v="997"/>
        <n v="833"/>
        <n v="861"/>
        <n v="717"/>
        <n v="619"/>
        <n v="690"/>
        <n v="673"/>
        <n v="599"/>
        <n v="655"/>
        <n v="958"/>
        <n v="985"/>
        <n v="652"/>
        <n v="506"/>
        <n v="815"/>
        <n v="964"/>
        <n v="720"/>
        <n v="820"/>
        <n v="544"/>
        <n v="800"/>
        <n v="785"/>
        <n v="638"/>
        <n v="530"/>
        <n v="505"/>
        <n v="924"/>
        <n v="602"/>
        <n v="502"/>
        <n v="796"/>
        <n v="942"/>
        <n v="609"/>
        <n v="993"/>
        <n v="725"/>
        <n v="537"/>
        <n v="859"/>
        <n v="542"/>
        <n v="895"/>
        <n v="565"/>
        <n v="512"/>
        <n v="570"/>
        <n v="617"/>
        <n v="662"/>
        <n v="794"/>
        <n v="960"/>
        <n v="573"/>
        <n v="896"/>
        <n v="819"/>
        <n v="956"/>
        <n v="527"/>
        <n v="604"/>
        <n v="514"/>
        <n v="990"/>
        <n v="560"/>
        <n v="734"/>
        <n v="981"/>
        <n v="881"/>
        <n v="678"/>
        <n v="657"/>
        <n v="674"/>
        <n v="760"/>
        <n v="645"/>
        <n v="855"/>
        <n v="533"/>
        <n v="630"/>
        <n v="606"/>
        <n v="582"/>
        <n v="647"/>
        <n v="779"/>
        <n v="814"/>
        <n v="517"/>
        <n v="620"/>
        <n v="831"/>
        <n v="595"/>
        <n v="707"/>
        <n v="886"/>
        <n v="947"/>
        <n v="682"/>
        <n v="642"/>
        <n v="591"/>
        <n v="767"/>
        <n v="975"/>
        <n v="713"/>
        <n v="659"/>
        <n v="984"/>
        <n v="503"/>
        <n v="945"/>
        <n v="839"/>
        <n v="857"/>
        <n v="868"/>
        <n v="798"/>
        <n v="776"/>
        <n v="529"/>
        <n v="705"/>
        <n v="576"/>
        <n v="838"/>
        <n v="748"/>
        <n v="953"/>
        <n v="786"/>
        <n v="553"/>
        <n v="911"/>
        <n v="987"/>
        <n v="907"/>
        <n v="622"/>
        <n v="677"/>
        <n v="986"/>
        <n v="927"/>
        <n v="751"/>
        <n v="810"/>
        <n v="973"/>
        <n v="536"/>
        <n v="640"/>
        <n v="755"/>
        <n v="829"/>
        <n v="919"/>
        <n v="825"/>
        <n v="586"/>
        <n v="900"/>
        <n v="731"/>
        <n v="653"/>
        <m/>
      </sharedItems>
    </cacheField>
    <cacheField name="Amount" numFmtId="0">
      <sharedItems containsSemiMixedTypes="0" containsString="0" containsNumber="1" containsInteger="1" minValue="828548" maxValue="13863088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Bharat Innovations"/>
    <x v="0"/>
    <x v="0"/>
    <x v="0"/>
    <s v="Delhi"/>
    <x v="0"/>
    <x v="0"/>
    <x v="0"/>
    <x v="0"/>
    <n v="3360636"/>
  </r>
  <r>
    <s v="Green Leaf Enterprises"/>
    <x v="0"/>
    <x v="1"/>
    <x v="1"/>
    <s v="Mumbai"/>
    <x v="1"/>
    <x v="0"/>
    <x v="1"/>
    <x v="1"/>
    <n v="4645386"/>
  </r>
  <r>
    <s v="Urban Pulse Technologies"/>
    <x v="0"/>
    <x v="1"/>
    <x v="2"/>
    <s v="Kolkata"/>
    <x v="2"/>
    <x v="0"/>
    <x v="2"/>
    <x v="2"/>
    <n v="1523865"/>
  </r>
  <r>
    <s v="Mystic India Exports"/>
    <x v="0"/>
    <x v="1"/>
    <x v="3"/>
    <s v="Chennai"/>
    <x v="3"/>
    <x v="0"/>
    <x v="3"/>
    <x v="3"/>
    <n v="3566605"/>
  </r>
  <r>
    <s v="Golden Horizon Ventures"/>
    <x v="1"/>
    <x v="2"/>
    <x v="3"/>
    <s v="Bengaluru"/>
    <x v="4"/>
    <x v="0"/>
    <x v="4"/>
    <x v="4"/>
    <n v="3745491"/>
  </r>
  <r>
    <s v="Eternal Traditions"/>
    <x v="1"/>
    <x v="2"/>
    <x v="3"/>
    <s v="Hyderabad"/>
    <x v="5"/>
    <x v="0"/>
    <x v="5"/>
    <x v="5"/>
    <n v="4064994"/>
  </r>
  <r>
    <s v="Apex Solutions"/>
    <x v="1"/>
    <x v="2"/>
    <x v="1"/>
    <s v="Ahmedabad"/>
    <x v="6"/>
    <x v="0"/>
    <x v="6"/>
    <x v="6"/>
    <n v="5541240"/>
  </r>
  <r>
    <s v="Harmony Foods"/>
    <x v="1"/>
    <x v="2"/>
    <x v="1"/>
    <s v="Pune"/>
    <x v="1"/>
    <x v="0"/>
    <x v="7"/>
    <x v="7"/>
    <n v="4966948"/>
  </r>
  <r>
    <s v="Pure Essence Skincare"/>
    <x v="0"/>
    <x v="0"/>
    <x v="0"/>
    <s v="Jaipur"/>
    <x v="7"/>
    <x v="1"/>
    <x v="8"/>
    <x v="8"/>
    <n v="1518426"/>
  </r>
  <r>
    <s v="Zenith Construction Co."/>
    <x v="0"/>
    <x v="0"/>
    <x v="1"/>
    <s v="Surat"/>
    <x v="6"/>
    <x v="1"/>
    <x v="9"/>
    <x v="9"/>
    <n v="828548"/>
  </r>
  <r>
    <s v="Radiant Health Systems"/>
    <x v="0"/>
    <x v="0"/>
    <x v="0"/>
    <s v="Lucknow"/>
    <x v="8"/>
    <x v="1"/>
    <x v="10"/>
    <x v="10"/>
    <n v="2681953"/>
  </r>
  <r>
    <s v="Divine Creations"/>
    <x v="0"/>
    <x v="0"/>
    <x v="0"/>
    <s v="Kanpur"/>
    <x v="8"/>
    <x v="1"/>
    <x v="11"/>
    <x v="11"/>
    <n v="3443532"/>
  </r>
  <r>
    <s v="Metro Tech Solutions"/>
    <x v="0"/>
    <x v="0"/>
    <x v="1"/>
    <s v="Nagpur"/>
    <x v="1"/>
    <x v="1"/>
    <x v="12"/>
    <x v="12"/>
    <n v="3577658"/>
  </r>
  <r>
    <s v="True Path Logistics"/>
    <x v="0"/>
    <x v="0"/>
    <x v="4"/>
    <s v="Indore"/>
    <x v="9"/>
    <x v="1"/>
    <x v="13"/>
    <x v="13"/>
    <n v="1276242"/>
  </r>
  <r>
    <s v="Sacred Roots Apparel"/>
    <x v="1"/>
    <x v="3"/>
    <x v="1"/>
    <s v="Thane"/>
    <x v="1"/>
    <x v="1"/>
    <x v="14"/>
    <x v="14"/>
    <n v="5512404"/>
  </r>
  <r>
    <s v="Quantum Finance Services"/>
    <x v="1"/>
    <x v="3"/>
    <x v="5"/>
    <s v="Chandigarh"/>
    <x v="10"/>
    <x v="1"/>
    <x v="15"/>
    <x v="15"/>
    <n v="1984929"/>
  </r>
  <r>
    <s v="Brilliant Minds Academy"/>
    <x v="1"/>
    <x v="3"/>
    <x v="4"/>
    <s v="Bhopal"/>
    <x v="9"/>
    <x v="1"/>
    <x v="16"/>
    <x v="16"/>
    <n v="3014882"/>
  </r>
  <r>
    <s v="Visionary Holdings"/>
    <x v="1"/>
    <x v="3"/>
    <x v="3"/>
    <s v="Visakhapatnam"/>
    <x v="11"/>
    <x v="1"/>
    <x v="17"/>
    <x v="13"/>
    <n v="4510462"/>
  </r>
  <r>
    <s v="Stellar Design Studio"/>
    <x v="1"/>
    <x v="3"/>
    <x v="2"/>
    <s v="Patna"/>
    <x v="12"/>
    <x v="1"/>
    <x v="18"/>
    <x v="17"/>
    <n v="5389631"/>
  </r>
  <r>
    <s v="Classic Cuisines"/>
    <x v="1"/>
    <x v="3"/>
    <x v="1"/>
    <s v="Vadodara"/>
    <x v="6"/>
    <x v="0"/>
    <x v="19"/>
    <x v="13"/>
    <n v="3759613"/>
  </r>
  <r>
    <s v="Bold Ventures"/>
    <x v="1"/>
    <x v="3"/>
    <x v="0"/>
    <s v="Agra"/>
    <x v="8"/>
    <x v="0"/>
    <x v="20"/>
    <x v="18"/>
    <n v="6012216"/>
  </r>
  <r>
    <s v="Prestige Automobiles"/>
    <x v="0"/>
    <x v="4"/>
    <x v="0"/>
    <s v="Meerut"/>
    <x v="8"/>
    <x v="0"/>
    <x v="21"/>
    <x v="19"/>
    <n v="8583003"/>
  </r>
  <r>
    <s v="Elite Marketing Solutions"/>
    <x v="0"/>
    <x v="4"/>
    <x v="3"/>
    <s v="Coimbatore"/>
    <x v="3"/>
    <x v="0"/>
    <x v="22"/>
    <x v="20"/>
    <n v="3716856"/>
  </r>
  <r>
    <s v="Natural Bliss Beverages"/>
    <x v="0"/>
    <x v="4"/>
    <x v="3"/>
    <s v="Madurai"/>
    <x v="3"/>
    <x v="0"/>
    <x v="23"/>
    <x v="21"/>
    <n v="1789515"/>
  </r>
  <r>
    <s v="Crystal Clear Solutions"/>
    <x v="0"/>
    <x v="4"/>
    <x v="0"/>
    <s v="Jodhpur"/>
    <x v="7"/>
    <x v="1"/>
    <x v="24"/>
    <x v="22"/>
    <n v="3469540"/>
  </r>
  <r>
    <s v="Modern Trends Fashion"/>
    <x v="0"/>
    <x v="4"/>
    <x v="0"/>
    <s v="Varanasi"/>
    <x v="8"/>
    <x v="1"/>
    <x v="25"/>
    <x v="23"/>
    <n v="1809280"/>
  </r>
  <r>
    <s v="Heritage Crafts"/>
    <x v="0"/>
    <x v="4"/>
    <x v="2"/>
    <s v="Ranchi"/>
    <x v="13"/>
    <x v="1"/>
    <x v="26"/>
    <x v="24"/>
    <n v="2869344"/>
  </r>
  <r>
    <s v="Future Insights Analytics"/>
    <x v="0"/>
    <x v="4"/>
    <x v="3"/>
    <s v="Kochi"/>
    <x v="14"/>
    <x v="1"/>
    <x v="27"/>
    <x v="25"/>
    <n v="1071696"/>
  </r>
  <r>
    <s v="Emerald Estate Developers"/>
    <x v="0"/>
    <x v="4"/>
    <x v="1"/>
    <s v="Aurangabad"/>
    <x v="1"/>
    <x v="1"/>
    <x v="28"/>
    <x v="26"/>
    <n v="2180250"/>
  </r>
  <r>
    <s v="Starlight Media Group"/>
    <x v="0"/>
    <x v="4"/>
    <x v="0"/>
    <s v="Shimla"/>
    <x v="15"/>
    <x v="1"/>
    <x v="29"/>
    <x v="27"/>
    <n v="1638288"/>
  </r>
  <r>
    <s v="Supreme Electronics"/>
    <x v="0"/>
    <x v="4"/>
    <x v="0"/>
    <s v="Dehradun"/>
    <x v="16"/>
    <x v="1"/>
    <x v="30"/>
    <x v="28"/>
    <n v="1425416"/>
  </r>
  <r>
    <s v="Optimum Wellness"/>
    <x v="0"/>
    <x v="4"/>
    <x v="6"/>
    <s v="Guwahati"/>
    <x v="17"/>
    <x v="0"/>
    <x v="31"/>
    <x v="29"/>
    <n v="1815030"/>
  </r>
  <r>
    <s v="Zenith Books Publishing"/>
    <x v="0"/>
    <x v="4"/>
    <x v="0"/>
    <s v="Amritsar"/>
    <x v="18"/>
    <x v="0"/>
    <x v="32"/>
    <x v="30"/>
    <n v="6327892"/>
  </r>
  <r>
    <s v="Pinnacle Innovations"/>
    <x v="0"/>
    <x v="4"/>
    <x v="4"/>
    <s v="Raipur"/>
    <x v="19"/>
    <x v="0"/>
    <x v="33"/>
    <x v="31"/>
    <n v="6102567"/>
  </r>
  <r>
    <s v="Apex Travel Services"/>
    <x v="0"/>
    <x v="4"/>
    <x v="2"/>
    <s v="Durgapur"/>
    <x v="2"/>
    <x v="0"/>
    <x v="34"/>
    <x v="32"/>
    <n v="2619594"/>
  </r>
  <r>
    <s v="Golden Era Realty"/>
    <x v="0"/>
    <x v="4"/>
    <x v="2"/>
    <s v="Kolkata"/>
    <x v="2"/>
    <x v="1"/>
    <x v="35"/>
    <x v="33"/>
    <n v="3735570"/>
  </r>
  <r>
    <s v="Radiant Jewelry"/>
    <x v="0"/>
    <x v="5"/>
    <x v="4"/>
    <s v="Gwalior"/>
    <x v="9"/>
    <x v="1"/>
    <x v="36"/>
    <x v="34"/>
    <n v="4492524"/>
  </r>
  <r>
    <s v="Infinity Ventures"/>
    <x v="0"/>
    <x v="5"/>
    <x v="2"/>
    <s v="Jamshedpur"/>
    <x v="13"/>
    <x v="1"/>
    <x v="37"/>
    <x v="35"/>
    <n v="4491136"/>
  </r>
  <r>
    <s v="Royal Taste Foods"/>
    <x v="0"/>
    <x v="5"/>
    <x v="2"/>
    <s v="Siliguri"/>
    <x v="2"/>
    <x v="1"/>
    <x v="38"/>
    <x v="36"/>
    <n v="8831778"/>
  </r>
  <r>
    <s v="Harmony Homes"/>
    <x v="0"/>
    <x v="5"/>
    <x v="3"/>
    <s v="Mangalore"/>
    <x v="4"/>
    <x v="1"/>
    <x v="39"/>
    <x v="37"/>
    <n v="3205192"/>
  </r>
  <r>
    <s v="Urban Edge Consulting"/>
    <x v="0"/>
    <x v="5"/>
    <x v="0"/>
    <s v="Delhi"/>
    <x v="0"/>
    <x v="1"/>
    <x v="40"/>
    <x v="38"/>
    <n v="3619671"/>
  </r>
  <r>
    <s v="Prime Tech Innovations"/>
    <x v="0"/>
    <x v="5"/>
    <x v="1"/>
    <s v="Mumbai"/>
    <x v="1"/>
    <x v="1"/>
    <x v="41"/>
    <x v="39"/>
    <n v="7726806"/>
  </r>
  <r>
    <s v="Legacy Designs"/>
    <x v="0"/>
    <x v="5"/>
    <x v="2"/>
    <s v="Kolkata"/>
    <x v="2"/>
    <x v="1"/>
    <x v="42"/>
    <x v="40"/>
    <n v="4226591"/>
  </r>
  <r>
    <s v="Virtue Enterprises"/>
    <x v="0"/>
    <x v="5"/>
    <x v="3"/>
    <s v="Chennai"/>
    <x v="3"/>
    <x v="1"/>
    <x v="43"/>
    <x v="41"/>
    <n v="5273215"/>
  </r>
  <r>
    <s v="Radiant Health Club"/>
    <x v="0"/>
    <x v="5"/>
    <x v="3"/>
    <s v="Bengaluru"/>
    <x v="4"/>
    <x v="1"/>
    <x v="44"/>
    <x v="42"/>
    <n v="4131849"/>
  </r>
  <r>
    <s v="Bright Horizon Ventures"/>
    <x v="0"/>
    <x v="5"/>
    <x v="3"/>
    <s v="Hyderabad"/>
    <x v="5"/>
    <x v="0"/>
    <x v="45"/>
    <x v="43"/>
    <n v="1992852"/>
  </r>
  <r>
    <s v="Modern Lifestyle Products"/>
    <x v="0"/>
    <x v="5"/>
    <x v="1"/>
    <s v="Ahmedabad"/>
    <x v="6"/>
    <x v="0"/>
    <x v="46"/>
    <x v="44"/>
    <n v="5819745"/>
  </r>
  <r>
    <s v="Nexus Trading Co."/>
    <x v="0"/>
    <x v="5"/>
    <x v="1"/>
    <s v="Pune"/>
    <x v="1"/>
    <x v="0"/>
    <x v="47"/>
    <x v="2"/>
    <n v="6263937"/>
  </r>
  <r>
    <s v="Radiance Spa"/>
    <x v="1"/>
    <x v="6"/>
    <x v="0"/>
    <s v="Jaipur"/>
    <x v="7"/>
    <x v="0"/>
    <x v="48"/>
    <x v="45"/>
    <n v="1189524"/>
  </r>
  <r>
    <s v="Absolute Solutions"/>
    <x v="1"/>
    <x v="6"/>
    <x v="1"/>
    <s v="Surat"/>
    <x v="6"/>
    <x v="0"/>
    <x v="49"/>
    <x v="2"/>
    <n v="5926352"/>
  </r>
  <r>
    <s v="Verve Fitness Studio"/>
    <x v="1"/>
    <x v="6"/>
    <x v="0"/>
    <s v="Lucknow"/>
    <x v="8"/>
    <x v="1"/>
    <x v="50"/>
    <x v="46"/>
    <n v="4936932"/>
  </r>
  <r>
    <s v="Sparkle Cleaners"/>
    <x v="1"/>
    <x v="6"/>
    <x v="0"/>
    <s v="Kanpur"/>
    <x v="8"/>
    <x v="1"/>
    <x v="51"/>
    <x v="47"/>
    <n v="8412228"/>
  </r>
  <r>
    <s v="Global Reach Logistics"/>
    <x v="1"/>
    <x v="6"/>
    <x v="1"/>
    <s v="Nagpur"/>
    <x v="1"/>
    <x v="1"/>
    <x v="52"/>
    <x v="48"/>
    <n v="5349356"/>
  </r>
  <r>
    <s v="Noble Path Finance"/>
    <x v="1"/>
    <x v="6"/>
    <x v="4"/>
    <s v="Indore"/>
    <x v="9"/>
    <x v="1"/>
    <x v="53"/>
    <x v="49"/>
    <n v="3422520"/>
  </r>
  <r>
    <s v="Dynamic Events Management"/>
    <x v="1"/>
    <x v="6"/>
    <x v="1"/>
    <s v="Thane"/>
    <x v="1"/>
    <x v="1"/>
    <x v="54"/>
    <x v="50"/>
    <n v="6858152"/>
  </r>
  <r>
    <s v="Crystal Waters Resort"/>
    <x v="1"/>
    <x v="6"/>
    <x v="5"/>
    <s v="Chandigarh"/>
    <x v="10"/>
    <x v="1"/>
    <x v="55"/>
    <x v="14"/>
    <n v="8137188"/>
  </r>
  <r>
    <s v="Excellence Tutors"/>
    <x v="1"/>
    <x v="6"/>
    <x v="4"/>
    <s v="Bhopal"/>
    <x v="9"/>
    <x v="1"/>
    <x v="56"/>
    <x v="51"/>
    <n v="3544944"/>
  </r>
  <r>
    <s v="Horizon Builders"/>
    <x v="1"/>
    <x v="6"/>
    <x v="3"/>
    <s v="Visakhapatnam"/>
    <x v="11"/>
    <x v="0"/>
    <x v="57"/>
    <x v="52"/>
    <n v="9233430"/>
  </r>
  <r>
    <s v="Synergy Tech Solutions"/>
    <x v="1"/>
    <x v="6"/>
    <x v="2"/>
    <s v="Patna"/>
    <x v="12"/>
    <x v="0"/>
    <x v="58"/>
    <x v="53"/>
    <n v="7545720"/>
  </r>
  <r>
    <s v="Classic Heritage Crafts"/>
    <x v="1"/>
    <x v="6"/>
    <x v="1"/>
    <s v="Vadodara"/>
    <x v="6"/>
    <x v="0"/>
    <x v="59"/>
    <x v="10"/>
    <n v="4431556"/>
  </r>
  <r>
    <s v="Prime Focus Media"/>
    <x v="1"/>
    <x v="7"/>
    <x v="0"/>
    <s v="Agra"/>
    <x v="8"/>
    <x v="0"/>
    <x v="60"/>
    <x v="54"/>
    <n v="6126372"/>
  </r>
  <r>
    <s v="Noble Nutraceuticals"/>
    <x v="1"/>
    <x v="7"/>
    <x v="0"/>
    <s v="Meerut"/>
    <x v="8"/>
    <x v="1"/>
    <x v="61"/>
    <x v="55"/>
    <n v="5987340"/>
  </r>
  <r>
    <s v="Supreme Travel Agency"/>
    <x v="1"/>
    <x v="7"/>
    <x v="3"/>
    <s v="Coimbatore"/>
    <x v="3"/>
    <x v="0"/>
    <x v="62"/>
    <x v="44"/>
    <n v="3440310"/>
  </r>
  <r>
    <s v="Future Vision Tech"/>
    <x v="1"/>
    <x v="7"/>
    <x v="3"/>
    <s v="Madurai"/>
    <x v="3"/>
    <x v="0"/>
    <x v="63"/>
    <x v="56"/>
    <n v="3300091"/>
  </r>
  <r>
    <s v="Urban Groove Apparel"/>
    <x v="1"/>
    <x v="7"/>
    <x v="0"/>
    <s v="Jodhpur"/>
    <x v="7"/>
    <x v="0"/>
    <x v="64"/>
    <x v="57"/>
    <n v="5136975"/>
  </r>
  <r>
    <s v="Echo Real Estate"/>
    <x v="1"/>
    <x v="7"/>
    <x v="0"/>
    <s v="Varanasi"/>
    <x v="8"/>
    <x v="0"/>
    <x v="65"/>
    <x v="58"/>
    <n v="2897782"/>
  </r>
  <r>
    <s v="Pinnacle Health Products"/>
    <x v="1"/>
    <x v="7"/>
    <x v="2"/>
    <s v="Ranchi"/>
    <x v="13"/>
    <x v="1"/>
    <x v="66"/>
    <x v="59"/>
    <n v="1852065"/>
  </r>
  <r>
    <s v="Apex Auto Care"/>
    <x v="1"/>
    <x v="7"/>
    <x v="3"/>
    <s v="Kochi"/>
    <x v="14"/>
    <x v="1"/>
    <x v="67"/>
    <x v="60"/>
    <n v="7541264"/>
  </r>
  <r>
    <s v="Royal Glow Cosmetics"/>
    <x v="1"/>
    <x v="7"/>
    <x v="1"/>
    <s v="Aurangabad"/>
    <x v="1"/>
    <x v="1"/>
    <x v="68"/>
    <x v="61"/>
    <n v="3584988"/>
  </r>
  <r>
    <s v="Zenith Culinary Arts"/>
    <x v="1"/>
    <x v="7"/>
    <x v="0"/>
    <s v="Shimla"/>
    <x v="15"/>
    <x v="1"/>
    <x v="69"/>
    <x v="0"/>
    <n v="3786588"/>
  </r>
  <r>
    <s v="Visionary Tours"/>
    <x v="1"/>
    <x v="7"/>
    <x v="0"/>
    <s v="Dehradun"/>
    <x v="16"/>
    <x v="1"/>
    <x v="70"/>
    <x v="62"/>
    <n v="3102610"/>
  </r>
  <r>
    <s v="Horizon Wellness"/>
    <x v="2"/>
    <x v="8"/>
    <x v="6"/>
    <s v="Guwahati"/>
    <x v="17"/>
    <x v="1"/>
    <x v="71"/>
    <x v="63"/>
    <n v="1091128"/>
  </r>
  <r>
    <s v="True Value Electronics"/>
    <x v="2"/>
    <x v="8"/>
    <x v="0"/>
    <s v="Amritsar"/>
    <x v="18"/>
    <x v="1"/>
    <x v="72"/>
    <x v="64"/>
    <n v="3751820"/>
  </r>
  <r>
    <s v="Harmony Homes Realty"/>
    <x v="2"/>
    <x v="8"/>
    <x v="4"/>
    <s v="Raipur"/>
    <x v="19"/>
    <x v="1"/>
    <x v="73"/>
    <x v="65"/>
    <n v="3882616"/>
  </r>
  <r>
    <s v="Stellar Advertising"/>
    <x v="2"/>
    <x v="8"/>
    <x v="2"/>
    <s v="Durgapur"/>
    <x v="2"/>
    <x v="1"/>
    <x v="74"/>
    <x v="66"/>
    <n v="4207275"/>
  </r>
  <r>
    <s v="Radiant Enterprise Solutions"/>
    <x v="2"/>
    <x v="8"/>
    <x v="2"/>
    <s v="Kolkata"/>
    <x v="2"/>
    <x v="1"/>
    <x v="75"/>
    <x v="67"/>
    <n v="7123368"/>
  </r>
  <r>
    <s v="Modern Trends Retail"/>
    <x v="2"/>
    <x v="8"/>
    <x v="4"/>
    <s v="Gwalior"/>
    <x v="9"/>
    <x v="0"/>
    <x v="76"/>
    <x v="68"/>
    <n v="3196629"/>
  </r>
  <r>
    <s v="Global Spectrum Consulting"/>
    <x v="2"/>
    <x v="8"/>
    <x v="2"/>
    <s v="Jamshedpur"/>
    <x v="13"/>
    <x v="0"/>
    <x v="77"/>
    <x v="69"/>
    <n v="2857995"/>
  </r>
  <r>
    <s v="Elite Essence Products"/>
    <x v="1"/>
    <x v="6"/>
    <x v="2"/>
    <s v="Siliguri"/>
    <x v="2"/>
    <x v="0"/>
    <x v="78"/>
    <x v="70"/>
    <n v="1134440"/>
  </r>
  <r>
    <s v="Dynamic Creations"/>
    <x v="1"/>
    <x v="6"/>
    <x v="3"/>
    <s v="Mangalore"/>
    <x v="4"/>
    <x v="0"/>
    <x v="79"/>
    <x v="71"/>
    <n v="3032953"/>
  </r>
  <r>
    <s v="Quantum Design Studio"/>
    <x v="1"/>
    <x v="6"/>
    <x v="0"/>
    <s v="Delhi"/>
    <x v="0"/>
    <x v="0"/>
    <x v="80"/>
    <x v="72"/>
    <n v="2937540"/>
  </r>
  <r>
    <s v="Infinite Solutions"/>
    <x v="1"/>
    <x v="6"/>
    <x v="1"/>
    <s v="Mumbai"/>
    <x v="1"/>
    <x v="1"/>
    <x v="81"/>
    <x v="73"/>
    <n v="4839324"/>
  </r>
  <r>
    <s v="Apex Construction"/>
    <x v="1"/>
    <x v="6"/>
    <x v="2"/>
    <s v="Kolkata"/>
    <x v="2"/>
    <x v="1"/>
    <x v="82"/>
    <x v="74"/>
    <n v="1404660"/>
  </r>
  <r>
    <s v="Legacy Innovations"/>
    <x v="1"/>
    <x v="7"/>
    <x v="3"/>
    <s v="Chennai"/>
    <x v="3"/>
    <x v="1"/>
    <x v="83"/>
    <x v="75"/>
    <n v="5215104"/>
  </r>
  <r>
    <s v="Pure Harmony Foods"/>
    <x v="1"/>
    <x v="7"/>
    <x v="3"/>
    <s v="Bengaluru"/>
    <x v="4"/>
    <x v="0"/>
    <x v="84"/>
    <x v="76"/>
    <n v="5941091"/>
  </r>
  <r>
    <s v="Zenith Security Systems"/>
    <x v="1"/>
    <x v="7"/>
    <x v="3"/>
    <s v="Hyderabad"/>
    <x v="5"/>
    <x v="0"/>
    <x v="85"/>
    <x v="61"/>
    <n v="1377948"/>
  </r>
  <r>
    <s v="Crystal Clear Beverages"/>
    <x v="1"/>
    <x v="7"/>
    <x v="1"/>
    <s v="Ahmedabad"/>
    <x v="6"/>
    <x v="0"/>
    <x v="86"/>
    <x v="77"/>
    <n v="5832320"/>
  </r>
  <r>
    <s v="Metro Line Tech"/>
    <x v="1"/>
    <x v="7"/>
    <x v="1"/>
    <s v="Pune"/>
    <x v="1"/>
    <x v="0"/>
    <x v="87"/>
    <x v="78"/>
    <n v="6943300"/>
  </r>
  <r>
    <s v="Urban Pulse Consulting"/>
    <x v="1"/>
    <x v="7"/>
    <x v="0"/>
    <s v="Jaipur"/>
    <x v="7"/>
    <x v="0"/>
    <x v="88"/>
    <x v="79"/>
    <n v="6392812"/>
  </r>
  <r>
    <s v="Radiant Vision Studios"/>
    <x v="2"/>
    <x v="9"/>
    <x v="1"/>
    <s v="Surat"/>
    <x v="6"/>
    <x v="1"/>
    <x v="89"/>
    <x v="80"/>
    <n v="4524736"/>
  </r>
  <r>
    <s v="Noble Travel Services"/>
    <x v="2"/>
    <x v="9"/>
    <x v="0"/>
    <s v="Lucknow"/>
    <x v="8"/>
    <x v="1"/>
    <x v="90"/>
    <x v="81"/>
    <n v="1866900"/>
  </r>
  <r>
    <s v="Bright Future Academy"/>
    <x v="2"/>
    <x v="9"/>
    <x v="0"/>
    <s v="Kanpur"/>
    <x v="8"/>
    <x v="1"/>
    <x v="91"/>
    <x v="82"/>
    <n v="6708205"/>
  </r>
  <r>
    <s v="Synergy Solutions Group"/>
    <x v="2"/>
    <x v="9"/>
    <x v="1"/>
    <s v="Nagpur"/>
    <x v="1"/>
    <x v="1"/>
    <x v="92"/>
    <x v="83"/>
    <n v="5217156"/>
  </r>
  <r>
    <s v="Visionary Health Systems"/>
    <x v="2"/>
    <x v="9"/>
    <x v="4"/>
    <s v="Indore"/>
    <x v="9"/>
    <x v="1"/>
    <x v="93"/>
    <x v="4"/>
    <n v="7126758"/>
  </r>
  <r>
    <s v="Apex Retailers"/>
    <x v="2"/>
    <x v="9"/>
    <x v="1"/>
    <s v="Thane"/>
    <x v="1"/>
    <x v="1"/>
    <x v="94"/>
    <x v="84"/>
    <n v="1356885"/>
  </r>
  <r>
    <s v="Prestige Property Developers"/>
    <x v="2"/>
    <x v="9"/>
    <x v="5"/>
    <s v="Chandigarh"/>
    <x v="10"/>
    <x v="1"/>
    <x v="95"/>
    <x v="85"/>
    <n v="3370182"/>
  </r>
  <r>
    <s v="Classic Trends Fashion"/>
    <x v="2"/>
    <x v="9"/>
    <x v="4"/>
    <s v="Bhopal"/>
    <x v="9"/>
    <x v="0"/>
    <x v="96"/>
    <x v="86"/>
    <n v="2887570"/>
  </r>
  <r>
    <s v="Harmony Ventures"/>
    <x v="2"/>
    <x v="9"/>
    <x v="3"/>
    <s v="Visakhapatnam"/>
    <x v="11"/>
    <x v="0"/>
    <x v="57"/>
    <x v="87"/>
    <n v="9033531"/>
  </r>
  <r>
    <s v="Stellar Realty"/>
    <x v="2"/>
    <x v="9"/>
    <x v="2"/>
    <s v="Patna"/>
    <x v="12"/>
    <x v="0"/>
    <x v="97"/>
    <x v="88"/>
    <n v="6747895"/>
  </r>
  <r>
    <s v="Future Path Technologies"/>
    <x v="2"/>
    <x v="9"/>
    <x v="1"/>
    <s v="Vadodara"/>
    <x v="6"/>
    <x v="0"/>
    <x v="98"/>
    <x v="48"/>
    <n v="1528735"/>
  </r>
  <r>
    <s v="Elite Edge Services"/>
    <x v="2"/>
    <x v="9"/>
    <x v="0"/>
    <s v="Agra"/>
    <x v="8"/>
    <x v="1"/>
    <x v="99"/>
    <x v="89"/>
    <n v="5290153"/>
  </r>
  <r>
    <s v="Radiance Health and Wellness"/>
    <x v="0"/>
    <x v="5"/>
    <x v="0"/>
    <s v="Meerut"/>
    <x v="8"/>
    <x v="0"/>
    <x v="52"/>
    <x v="90"/>
    <n v="3304596"/>
  </r>
  <r>
    <s v="Legacy Auto Works"/>
    <x v="0"/>
    <x v="5"/>
    <x v="3"/>
    <s v="Coimbatore"/>
    <x v="3"/>
    <x v="0"/>
    <x v="100"/>
    <x v="91"/>
    <n v="2671306"/>
  </r>
  <r>
    <s v="Prime Essence Creations"/>
    <x v="0"/>
    <x v="5"/>
    <x v="3"/>
    <s v="Madurai"/>
    <x v="3"/>
    <x v="0"/>
    <x v="101"/>
    <x v="92"/>
    <n v="4275084"/>
  </r>
  <r>
    <s v="Quantum Ventures"/>
    <x v="0"/>
    <x v="5"/>
    <x v="0"/>
    <s v="Jodhpur"/>
    <x v="7"/>
    <x v="0"/>
    <x v="102"/>
    <x v="93"/>
    <n v="4313937"/>
  </r>
  <r>
    <s v="Horizon Tech Solutions"/>
    <x v="0"/>
    <x v="5"/>
    <x v="0"/>
    <s v="Varanasi"/>
    <x v="8"/>
    <x v="1"/>
    <x v="103"/>
    <x v="94"/>
    <n v="4796908"/>
  </r>
  <r>
    <s v="Urban Legends Apparel"/>
    <x v="0"/>
    <x v="5"/>
    <x v="2"/>
    <s v="Ranchi"/>
    <x v="13"/>
    <x v="1"/>
    <x v="104"/>
    <x v="95"/>
    <n v="6594820"/>
  </r>
  <r>
    <s v="Pure Bliss Beverages"/>
    <x v="0"/>
    <x v="5"/>
    <x v="3"/>
    <s v="Kochi"/>
    <x v="14"/>
    <x v="1"/>
    <x v="105"/>
    <x v="96"/>
    <n v="4437695"/>
  </r>
  <r>
    <s v="Noble Heights Builders"/>
    <x v="0"/>
    <x v="5"/>
    <x v="1"/>
    <s v="Aurangabad"/>
    <x v="1"/>
    <x v="1"/>
    <x v="106"/>
    <x v="97"/>
    <n v="3293386"/>
  </r>
  <r>
    <s v="Radiant Foods"/>
    <x v="0"/>
    <x v="5"/>
    <x v="0"/>
    <s v="Shimla"/>
    <x v="15"/>
    <x v="1"/>
    <x v="107"/>
    <x v="62"/>
    <n v="5324221"/>
  </r>
  <r>
    <s v="Zenith Financial Services"/>
    <x v="0"/>
    <x v="5"/>
    <x v="0"/>
    <s v="Dehradun"/>
    <x v="16"/>
    <x v="1"/>
    <x v="108"/>
    <x v="44"/>
    <n v="3905250"/>
  </r>
  <r>
    <s v="Apex Travel Ventures"/>
    <x v="0"/>
    <x v="5"/>
    <x v="6"/>
    <s v="Guwahati"/>
    <x v="17"/>
    <x v="1"/>
    <x v="109"/>
    <x v="98"/>
    <n v="6192618"/>
  </r>
  <r>
    <s v="Legacy Design Group"/>
    <x v="1"/>
    <x v="6"/>
    <x v="0"/>
    <s v="Amritsar"/>
    <x v="18"/>
    <x v="1"/>
    <x v="110"/>
    <x v="27"/>
    <n v="5255244"/>
  </r>
  <r>
    <s v="Supreme Wellness"/>
    <x v="1"/>
    <x v="6"/>
    <x v="4"/>
    <s v="Raipur"/>
    <x v="19"/>
    <x v="1"/>
    <x v="111"/>
    <x v="99"/>
    <n v="6438095"/>
  </r>
  <r>
    <s v="Harmony Tech Innovations"/>
    <x v="1"/>
    <x v="6"/>
    <x v="2"/>
    <s v="Durgapur"/>
    <x v="2"/>
    <x v="1"/>
    <x v="112"/>
    <x v="100"/>
    <n v="2672000"/>
  </r>
  <r>
    <s v="Stellar Education Services"/>
    <x v="1"/>
    <x v="6"/>
    <x v="2"/>
    <s v="Kolkata"/>
    <x v="2"/>
    <x v="1"/>
    <x v="113"/>
    <x v="101"/>
    <n v="6800576"/>
  </r>
  <r>
    <s v="Visionary Health Products"/>
    <x v="1"/>
    <x v="6"/>
    <x v="4"/>
    <s v="Gwalior"/>
    <x v="9"/>
    <x v="1"/>
    <x v="114"/>
    <x v="102"/>
    <n v="3407724"/>
  </r>
  <r>
    <s v="Crystal Innovations"/>
    <x v="1"/>
    <x v="6"/>
    <x v="2"/>
    <s v="Jamshedpur"/>
    <x v="13"/>
    <x v="1"/>
    <x v="115"/>
    <x v="103"/>
    <n v="1902560"/>
  </r>
  <r>
    <s v="Future Trends Retail"/>
    <x v="1"/>
    <x v="6"/>
    <x v="2"/>
    <s v="Siliguri"/>
    <x v="2"/>
    <x v="1"/>
    <x v="116"/>
    <x v="0"/>
    <n v="4872609"/>
  </r>
  <r>
    <s v="Radiant Horizon Ventures"/>
    <x v="1"/>
    <x v="6"/>
    <x v="3"/>
    <s v="Mangalore"/>
    <x v="4"/>
    <x v="1"/>
    <x v="117"/>
    <x v="16"/>
    <n v="3540726"/>
  </r>
  <r>
    <s v="Urban Edge Realty"/>
    <x v="1"/>
    <x v="6"/>
    <x v="0"/>
    <s v="Delhi"/>
    <x v="0"/>
    <x v="0"/>
    <x v="118"/>
    <x v="60"/>
    <n v="6242976"/>
  </r>
  <r>
    <s v="Prime Focus Innovations"/>
    <x v="1"/>
    <x v="6"/>
    <x v="1"/>
    <s v="Mumbai"/>
    <x v="1"/>
    <x v="0"/>
    <x v="119"/>
    <x v="104"/>
    <n v="3946464"/>
  </r>
  <r>
    <s v="Elite Spectrum Consulting"/>
    <x v="1"/>
    <x v="6"/>
    <x v="2"/>
    <s v="Kolkata"/>
    <x v="2"/>
    <x v="0"/>
    <x v="120"/>
    <x v="45"/>
    <n v="4635288"/>
  </r>
  <r>
    <s v="Dynamic Design Studio"/>
    <x v="1"/>
    <x v="6"/>
    <x v="3"/>
    <s v="Chennai"/>
    <x v="3"/>
    <x v="0"/>
    <x v="121"/>
    <x v="105"/>
    <n v="5225856"/>
  </r>
  <r>
    <s v="Apex Wellness Solutions"/>
    <x v="1"/>
    <x v="7"/>
    <x v="3"/>
    <s v="Bengaluru"/>
    <x v="4"/>
    <x v="0"/>
    <x v="122"/>
    <x v="106"/>
    <n v="2377830"/>
  </r>
  <r>
    <s v="Royal Crest Foods"/>
    <x v="1"/>
    <x v="7"/>
    <x v="3"/>
    <s v="Hyderabad"/>
    <x v="5"/>
    <x v="1"/>
    <x v="123"/>
    <x v="46"/>
    <n v="2446290"/>
  </r>
  <r>
    <s v="Zenith Travels"/>
    <x v="1"/>
    <x v="7"/>
    <x v="1"/>
    <s v="Ahmedabad"/>
    <x v="6"/>
    <x v="1"/>
    <x v="124"/>
    <x v="107"/>
    <n v="5795784"/>
  </r>
  <r>
    <s v="Modern Harmony Products"/>
    <x v="2"/>
    <x v="9"/>
    <x v="1"/>
    <s v="Pune"/>
    <x v="1"/>
    <x v="1"/>
    <x v="125"/>
    <x v="108"/>
    <n v="2823285"/>
  </r>
  <r>
    <s v="Horizon Builders &amp; Developers"/>
    <x v="2"/>
    <x v="9"/>
    <x v="0"/>
    <s v="Jaipur"/>
    <x v="7"/>
    <x v="1"/>
    <x v="126"/>
    <x v="102"/>
    <n v="5477964"/>
  </r>
  <r>
    <s v="Radiance Tech Solutions"/>
    <x v="2"/>
    <x v="9"/>
    <x v="1"/>
    <s v="Surat"/>
    <x v="6"/>
    <x v="1"/>
    <x v="127"/>
    <x v="109"/>
    <n v="3621286"/>
  </r>
  <r>
    <s v="Legacy Apparel"/>
    <x v="2"/>
    <x v="9"/>
    <x v="0"/>
    <s v="Lucknow"/>
    <x v="8"/>
    <x v="1"/>
    <x v="128"/>
    <x v="110"/>
    <n v="4704803"/>
  </r>
  <r>
    <s v="Pinnacle Education Group"/>
    <x v="2"/>
    <x v="9"/>
    <x v="0"/>
    <s v="Kanpur"/>
    <x v="8"/>
    <x v="1"/>
    <x v="129"/>
    <x v="111"/>
    <n v="1351636"/>
  </r>
  <r>
    <s v="Noble Innovations"/>
    <x v="2"/>
    <x v="9"/>
    <x v="1"/>
    <s v="Nagpur"/>
    <x v="1"/>
    <x v="0"/>
    <x v="130"/>
    <x v="112"/>
    <n v="1223827"/>
  </r>
  <r>
    <s v="Crystal Clear Realty"/>
    <x v="2"/>
    <x v="9"/>
    <x v="4"/>
    <s v="Indore"/>
    <x v="9"/>
    <x v="0"/>
    <x v="131"/>
    <x v="1"/>
    <n v="2751280"/>
  </r>
  <r>
    <s v="Future Vision Realty"/>
    <x v="0"/>
    <x v="5"/>
    <x v="1"/>
    <s v="Thane"/>
    <x v="1"/>
    <x v="0"/>
    <x v="132"/>
    <x v="113"/>
    <n v="1919885"/>
  </r>
  <r>
    <s v="Urban Pulse Media"/>
    <x v="0"/>
    <x v="5"/>
    <x v="5"/>
    <s v="Chandigarh"/>
    <x v="10"/>
    <x v="0"/>
    <x v="133"/>
    <x v="114"/>
    <n v="4274517"/>
  </r>
  <r>
    <s v="True Essence Health"/>
    <x v="0"/>
    <x v="5"/>
    <x v="4"/>
    <s v="Bhopal"/>
    <x v="9"/>
    <x v="1"/>
    <x v="134"/>
    <x v="115"/>
    <n v="4823073"/>
  </r>
  <r>
    <s v="Apex Enterprise Solutions"/>
    <x v="0"/>
    <x v="5"/>
    <x v="3"/>
    <s v="Visakhapatnam"/>
    <x v="11"/>
    <x v="0"/>
    <x v="135"/>
    <x v="116"/>
    <n v="1996896"/>
  </r>
  <r>
    <s v="Radiant Vision Realty"/>
    <x v="0"/>
    <x v="5"/>
    <x v="2"/>
    <s v="Patna"/>
    <x v="12"/>
    <x v="0"/>
    <x v="136"/>
    <x v="117"/>
    <n v="1577225"/>
  </r>
  <r>
    <s v="Harmony Consulting Group"/>
    <x v="0"/>
    <x v="5"/>
    <x v="1"/>
    <s v="Vadodara"/>
    <x v="6"/>
    <x v="0"/>
    <x v="137"/>
    <x v="118"/>
    <n v="3908358"/>
  </r>
  <r>
    <s v="Zenith Tech Ventures"/>
    <x v="0"/>
    <x v="5"/>
    <x v="0"/>
    <s v="Agra"/>
    <x v="8"/>
    <x v="0"/>
    <x v="138"/>
    <x v="89"/>
    <n v="4473592"/>
  </r>
  <r>
    <s v="Stellar Health Services"/>
    <x v="0"/>
    <x v="5"/>
    <x v="0"/>
    <s v="Meerut"/>
    <x v="8"/>
    <x v="1"/>
    <x v="139"/>
    <x v="119"/>
    <n v="3223200"/>
  </r>
  <r>
    <s v="Pure Path Foods"/>
    <x v="0"/>
    <x v="5"/>
    <x v="3"/>
    <s v="Coimbatore"/>
    <x v="3"/>
    <x v="1"/>
    <x v="140"/>
    <x v="120"/>
    <n v="1545668"/>
  </r>
  <r>
    <s v="Prestige Solutions"/>
    <x v="0"/>
    <x v="5"/>
    <x v="3"/>
    <s v="Madurai"/>
    <x v="3"/>
    <x v="1"/>
    <x v="141"/>
    <x v="121"/>
    <n v="4638410"/>
  </r>
  <r>
    <s v="Bright Horizon Realty"/>
    <x v="0"/>
    <x v="5"/>
    <x v="0"/>
    <s v="Jodhpur"/>
    <x v="7"/>
    <x v="1"/>
    <x v="142"/>
    <x v="122"/>
    <n v="4296810"/>
  </r>
  <r>
    <s v="Quantum Media Group"/>
    <x v="1"/>
    <x v="6"/>
    <x v="0"/>
    <s v="Varanasi"/>
    <x v="8"/>
    <x v="1"/>
    <x v="143"/>
    <x v="5"/>
    <n v="4638348"/>
  </r>
  <r>
    <s v="Legacy Builders"/>
    <x v="1"/>
    <x v="6"/>
    <x v="2"/>
    <s v="Ranchi"/>
    <x v="13"/>
    <x v="1"/>
    <x v="144"/>
    <x v="123"/>
    <n v="8409246"/>
  </r>
  <r>
    <s v="Apex Spa &amp; Wellness"/>
    <x v="1"/>
    <x v="6"/>
    <x v="3"/>
    <s v="Kochi"/>
    <x v="14"/>
    <x v="1"/>
    <x v="145"/>
    <x v="124"/>
    <n v="3725384"/>
  </r>
  <r>
    <s v="Radiant Travel Services"/>
    <x v="1"/>
    <x v="6"/>
    <x v="1"/>
    <s v="Aurangabad"/>
    <x v="1"/>
    <x v="1"/>
    <x v="146"/>
    <x v="44"/>
    <n v="6097110"/>
  </r>
  <r>
    <s v="Modern Trends Consulting"/>
    <x v="1"/>
    <x v="6"/>
    <x v="0"/>
    <s v="Shimla"/>
    <x v="15"/>
    <x v="1"/>
    <x v="147"/>
    <x v="125"/>
    <n v="2895288"/>
  </r>
  <r>
    <s v="Global Horizon Ventures"/>
    <x v="1"/>
    <x v="6"/>
    <x v="0"/>
    <s v="Dehradun"/>
    <x v="16"/>
    <x v="1"/>
    <x v="148"/>
    <x v="126"/>
    <n v="8314173"/>
  </r>
  <r>
    <s v="Elite Enterprises"/>
    <x v="1"/>
    <x v="6"/>
    <x v="6"/>
    <s v="Guwahati"/>
    <x v="17"/>
    <x v="0"/>
    <x v="149"/>
    <x v="127"/>
    <n v="3337236"/>
  </r>
  <r>
    <s v="Urban Wave Solutions"/>
    <x v="1"/>
    <x v="6"/>
    <x v="0"/>
    <s v="Amritsar"/>
    <x v="18"/>
    <x v="0"/>
    <x v="150"/>
    <x v="128"/>
    <n v="6371979"/>
  </r>
  <r>
    <s v="Pinnacle Health Innovations"/>
    <x v="1"/>
    <x v="6"/>
    <x v="4"/>
    <s v="Raipur"/>
    <x v="19"/>
    <x v="0"/>
    <x v="151"/>
    <x v="129"/>
    <n v="2273587"/>
  </r>
  <r>
    <s v="Horizon Fashion"/>
    <x v="1"/>
    <x v="7"/>
    <x v="2"/>
    <s v="Durgapur"/>
    <x v="2"/>
    <x v="0"/>
    <x v="152"/>
    <x v="42"/>
    <n v="4605916"/>
  </r>
  <r>
    <s v="Crystal Essence Beverages"/>
    <x v="1"/>
    <x v="7"/>
    <x v="2"/>
    <s v="Kolkata"/>
    <x v="2"/>
    <x v="0"/>
    <x v="153"/>
    <x v="130"/>
    <n v="3544530"/>
  </r>
  <r>
    <s v="Dynamic Pathways"/>
    <x v="1"/>
    <x v="7"/>
    <x v="4"/>
    <s v="Gwalior"/>
    <x v="9"/>
    <x v="1"/>
    <x v="154"/>
    <x v="131"/>
    <n v="3912149"/>
  </r>
  <r>
    <s v="Visionary Realty Solutions"/>
    <x v="1"/>
    <x v="7"/>
    <x v="2"/>
    <s v="Jamshedpur"/>
    <x v="13"/>
    <x v="1"/>
    <x v="155"/>
    <x v="132"/>
    <n v="4390670"/>
  </r>
  <r>
    <s v="Radiance Apparel"/>
    <x v="1"/>
    <x v="7"/>
    <x v="2"/>
    <s v="Siliguri"/>
    <x v="2"/>
    <x v="1"/>
    <x v="156"/>
    <x v="133"/>
    <n v="5331045"/>
  </r>
  <r>
    <s v="Zenith Design Group"/>
    <x v="1"/>
    <x v="7"/>
    <x v="3"/>
    <s v="Mangalore"/>
    <x v="4"/>
    <x v="0"/>
    <x v="157"/>
    <x v="39"/>
    <n v="7530354"/>
  </r>
  <r>
    <s v="Apex Publishing House"/>
    <x v="2"/>
    <x v="9"/>
    <x v="0"/>
    <s v="Delhi"/>
    <x v="0"/>
    <x v="0"/>
    <x v="158"/>
    <x v="79"/>
    <n v="1660988"/>
  </r>
  <r>
    <s v="True Value Consulting"/>
    <x v="2"/>
    <x v="9"/>
    <x v="1"/>
    <s v="Mumbai"/>
    <x v="1"/>
    <x v="0"/>
    <x v="159"/>
    <x v="134"/>
    <n v="7368936"/>
  </r>
  <r>
    <s v="Future Path Ventures"/>
    <x v="2"/>
    <x v="9"/>
    <x v="2"/>
    <s v="Kolkata"/>
    <x v="2"/>
    <x v="0"/>
    <x v="160"/>
    <x v="135"/>
    <n v="7945010"/>
  </r>
  <r>
    <s v="Stellar Tech Services"/>
    <x v="2"/>
    <x v="9"/>
    <x v="3"/>
    <s v="Chennai"/>
    <x v="3"/>
    <x v="0"/>
    <x v="161"/>
    <x v="136"/>
    <n v="3867012"/>
  </r>
  <r>
    <s v="Legacy Travel Agency"/>
    <x v="2"/>
    <x v="9"/>
    <x v="3"/>
    <s v="Bengaluru"/>
    <x v="4"/>
    <x v="1"/>
    <x v="162"/>
    <x v="137"/>
    <n v="2810830"/>
  </r>
  <r>
    <s v="Harmony Innovations"/>
    <x v="2"/>
    <x v="9"/>
    <x v="3"/>
    <s v="Hyderabad"/>
    <x v="5"/>
    <x v="1"/>
    <x v="163"/>
    <x v="138"/>
    <n v="6147545"/>
  </r>
  <r>
    <s v="Pure Essence Solutions"/>
    <x v="2"/>
    <x v="9"/>
    <x v="1"/>
    <s v="Ahmedabad"/>
    <x v="6"/>
    <x v="1"/>
    <x v="164"/>
    <x v="139"/>
    <n v="7446900"/>
  </r>
  <r>
    <s v="Elite Media Group"/>
    <x v="2"/>
    <x v="9"/>
    <x v="1"/>
    <s v="Pune"/>
    <x v="1"/>
    <x v="1"/>
    <x v="165"/>
    <x v="140"/>
    <n v="5130000"/>
  </r>
  <r>
    <s v="Radiant Construction"/>
    <x v="2"/>
    <x v="9"/>
    <x v="0"/>
    <s v="Jaipur"/>
    <x v="7"/>
    <x v="1"/>
    <x v="30"/>
    <x v="141"/>
    <n v="1462880"/>
  </r>
  <r>
    <s v="Pinnacle Finance"/>
    <x v="2"/>
    <x v="9"/>
    <x v="1"/>
    <s v="Surat"/>
    <x v="6"/>
    <x v="1"/>
    <x v="166"/>
    <x v="28"/>
    <n v="5250229"/>
  </r>
  <r>
    <s v="Horizon Tech Ventures"/>
    <x v="2"/>
    <x v="9"/>
    <x v="0"/>
    <s v="Lucknow"/>
    <x v="8"/>
    <x v="1"/>
    <x v="167"/>
    <x v="142"/>
    <n v="3667648"/>
  </r>
  <r>
    <s v="Crystal Health Solutions"/>
    <x v="2"/>
    <x v="9"/>
    <x v="0"/>
    <s v="Kanpur"/>
    <x v="8"/>
    <x v="0"/>
    <x v="168"/>
    <x v="23"/>
    <n v="5275072"/>
  </r>
  <r>
    <s v="Modern Horizons Consulting"/>
    <x v="1"/>
    <x v="7"/>
    <x v="1"/>
    <s v="Nagpur"/>
    <x v="1"/>
    <x v="0"/>
    <x v="169"/>
    <x v="143"/>
    <n v="1704000"/>
  </r>
  <r>
    <s v="Apex Realty Services"/>
    <x v="1"/>
    <x v="7"/>
    <x v="4"/>
    <s v="Indore"/>
    <x v="9"/>
    <x v="0"/>
    <x v="170"/>
    <x v="144"/>
    <n v="3566255"/>
  </r>
  <r>
    <s v="Zenith Educational Group"/>
    <x v="1"/>
    <x v="7"/>
    <x v="1"/>
    <s v="Thane"/>
    <x v="1"/>
    <x v="0"/>
    <x v="171"/>
    <x v="101"/>
    <n v="5784832"/>
  </r>
  <r>
    <s v="True Path Ventures"/>
    <x v="1"/>
    <x v="7"/>
    <x v="5"/>
    <s v="Chandigarh"/>
    <x v="10"/>
    <x v="1"/>
    <x v="172"/>
    <x v="145"/>
    <n v="3961980"/>
  </r>
  <r>
    <s v="Radiance Media"/>
    <x v="1"/>
    <x v="7"/>
    <x v="4"/>
    <s v="Bhopal"/>
    <x v="9"/>
    <x v="0"/>
    <x v="173"/>
    <x v="87"/>
    <n v="7618572"/>
  </r>
  <r>
    <s v="Legacy Health Systems"/>
    <x v="1"/>
    <x v="7"/>
    <x v="3"/>
    <s v="Visakhapatnam"/>
    <x v="11"/>
    <x v="0"/>
    <x v="174"/>
    <x v="146"/>
    <n v="1449020"/>
  </r>
  <r>
    <s v="Urban Focus Products"/>
    <x v="1"/>
    <x v="7"/>
    <x v="2"/>
    <s v="Patna"/>
    <x v="12"/>
    <x v="0"/>
    <x v="175"/>
    <x v="147"/>
    <n v="1082720"/>
  </r>
  <r>
    <s v="Elite Edge Consulting"/>
    <x v="2"/>
    <x v="8"/>
    <x v="1"/>
    <s v="Vadodara"/>
    <x v="6"/>
    <x v="0"/>
    <x v="176"/>
    <x v="37"/>
    <n v="3690431"/>
  </r>
  <r>
    <s v="Stellar Travel Solutions"/>
    <x v="2"/>
    <x v="8"/>
    <x v="0"/>
    <s v="Agra"/>
    <x v="8"/>
    <x v="1"/>
    <x v="177"/>
    <x v="148"/>
    <n v="4109952"/>
  </r>
  <r>
    <s v="Harmony Tech Ventures"/>
    <x v="2"/>
    <x v="8"/>
    <x v="0"/>
    <s v="Meerut"/>
    <x v="8"/>
    <x v="1"/>
    <x v="178"/>
    <x v="149"/>
    <n v="5592580"/>
  </r>
  <r>
    <s v="Pure Harmony Solutions"/>
    <x v="2"/>
    <x v="8"/>
    <x v="3"/>
    <s v="Coimbatore"/>
    <x v="3"/>
    <x v="1"/>
    <x v="179"/>
    <x v="108"/>
    <n v="5403480"/>
  </r>
  <r>
    <s v="Radiant Fitness Studio"/>
    <x v="2"/>
    <x v="8"/>
    <x v="3"/>
    <s v="Madurai"/>
    <x v="3"/>
    <x v="1"/>
    <x v="180"/>
    <x v="150"/>
    <n v="4768498"/>
  </r>
  <r>
    <s v="Zenith Finance Co."/>
    <x v="2"/>
    <x v="8"/>
    <x v="0"/>
    <s v="Jodhpur"/>
    <x v="7"/>
    <x v="1"/>
    <x v="181"/>
    <x v="99"/>
    <n v="3700883"/>
  </r>
  <r>
    <s v="Apex Events Management"/>
    <x v="2"/>
    <x v="8"/>
    <x v="0"/>
    <s v="Varanasi"/>
    <x v="8"/>
    <x v="1"/>
    <x v="182"/>
    <x v="151"/>
    <n v="1658864"/>
  </r>
  <r>
    <s v="Visionary Innovations"/>
    <x v="1"/>
    <x v="6"/>
    <x v="2"/>
    <s v="Ranchi"/>
    <x v="13"/>
    <x v="1"/>
    <x v="183"/>
    <x v="152"/>
    <n v="4031760"/>
  </r>
  <r>
    <s v="Horizon Design Studio"/>
    <x v="1"/>
    <x v="6"/>
    <x v="3"/>
    <s v="Kochi"/>
    <x v="14"/>
    <x v="1"/>
    <x v="184"/>
    <x v="101"/>
    <n v="7658672"/>
  </r>
  <r>
    <s v="Modern Spectrum Solutions"/>
    <x v="1"/>
    <x v="6"/>
    <x v="1"/>
    <s v="Aurangabad"/>
    <x v="1"/>
    <x v="1"/>
    <x v="185"/>
    <x v="153"/>
    <n v="2875698"/>
  </r>
  <r>
    <s v="Legacy Tech Products"/>
    <x v="1"/>
    <x v="6"/>
    <x v="0"/>
    <s v="Shimla"/>
    <x v="15"/>
    <x v="1"/>
    <x v="186"/>
    <x v="154"/>
    <n v="7306494"/>
  </r>
  <r>
    <s v="Pinnacle Wellness Services"/>
    <x v="1"/>
    <x v="6"/>
    <x v="0"/>
    <s v="Dehradun"/>
    <x v="16"/>
    <x v="1"/>
    <x v="187"/>
    <x v="155"/>
    <n v="2153250"/>
  </r>
  <r>
    <s v="Urban Insight Consulting"/>
    <x v="1"/>
    <x v="7"/>
    <x v="6"/>
    <s v="Guwahati"/>
    <x v="17"/>
    <x v="1"/>
    <x v="188"/>
    <x v="156"/>
    <n v="1041243"/>
  </r>
  <r>
    <s v="Crystal Horizons"/>
    <x v="1"/>
    <x v="7"/>
    <x v="0"/>
    <s v="Amritsar"/>
    <x v="18"/>
    <x v="1"/>
    <x v="189"/>
    <x v="120"/>
    <n v="4023144"/>
  </r>
  <r>
    <s v="Radiant Apparel"/>
    <x v="1"/>
    <x v="7"/>
    <x v="4"/>
    <s v="Raipur"/>
    <x v="19"/>
    <x v="1"/>
    <x v="190"/>
    <x v="88"/>
    <n v="5943795"/>
  </r>
  <r>
    <s v="True Value Products"/>
    <x v="1"/>
    <x v="7"/>
    <x v="2"/>
    <s v="Durgapur"/>
    <x v="2"/>
    <x v="1"/>
    <x v="191"/>
    <x v="65"/>
    <n v="2875190"/>
  </r>
  <r>
    <s v="Apex Creative Solutions"/>
    <x v="1"/>
    <x v="7"/>
    <x v="2"/>
    <s v="Kolkata"/>
    <x v="2"/>
    <x v="0"/>
    <x v="192"/>
    <x v="4"/>
    <n v="3206472"/>
  </r>
  <r>
    <s v="Zenith Health Products"/>
    <x v="1"/>
    <x v="7"/>
    <x v="4"/>
    <s v="Gwalior"/>
    <x v="9"/>
    <x v="0"/>
    <x v="193"/>
    <x v="157"/>
    <n v="2508280"/>
  </r>
  <r>
    <s v="Stellar Media Group"/>
    <x v="2"/>
    <x v="9"/>
    <x v="2"/>
    <s v="Jamshedpur"/>
    <x v="13"/>
    <x v="0"/>
    <x v="100"/>
    <x v="114"/>
    <n v="1558518"/>
  </r>
  <r>
    <s v="Harmony Finance Co."/>
    <x v="2"/>
    <x v="9"/>
    <x v="2"/>
    <s v="Siliguri"/>
    <x v="2"/>
    <x v="0"/>
    <x v="194"/>
    <x v="158"/>
    <n v="970722"/>
  </r>
  <r>
    <s v="Pure Vision Ventures"/>
    <x v="2"/>
    <x v="9"/>
    <x v="3"/>
    <s v="Mangalore"/>
    <x v="4"/>
    <x v="0"/>
    <x v="195"/>
    <x v="1"/>
    <n v="2739720"/>
  </r>
  <r>
    <s v="Radiance Solutions Group"/>
    <x v="2"/>
    <x v="9"/>
    <x v="2"/>
    <s v="Patna"/>
    <x v="12"/>
    <x v="1"/>
    <x v="196"/>
    <x v="159"/>
    <n v="2385175"/>
  </r>
  <r>
    <s v="Legacy Travel Services"/>
    <x v="2"/>
    <x v="9"/>
    <x v="1"/>
    <s v="Vadodara"/>
    <x v="6"/>
    <x v="1"/>
    <x v="197"/>
    <x v="160"/>
    <n v="3184340"/>
  </r>
  <r>
    <s v="Elite Spectrum Media"/>
    <x v="2"/>
    <x v="9"/>
    <x v="0"/>
    <s v="Agra"/>
    <x v="8"/>
    <x v="1"/>
    <x v="198"/>
    <x v="161"/>
    <n v="3035136"/>
  </r>
  <r>
    <s v="Modern Edge Solutions"/>
    <x v="2"/>
    <x v="9"/>
    <x v="0"/>
    <s v="Meerut"/>
    <x v="8"/>
    <x v="1"/>
    <x v="199"/>
    <x v="162"/>
    <n v="5413860"/>
  </r>
  <r>
    <s v="Pinnacle Design Studio"/>
    <x v="2"/>
    <x v="9"/>
    <x v="3"/>
    <s v="Coimbatore"/>
    <x v="3"/>
    <x v="1"/>
    <x v="200"/>
    <x v="163"/>
    <n v="5897286"/>
  </r>
  <r>
    <s v="Horizon Health Solutions"/>
    <x v="0"/>
    <x v="0"/>
    <x v="3"/>
    <s v="Madurai"/>
    <x v="3"/>
    <x v="1"/>
    <x v="201"/>
    <x v="164"/>
    <n v="1607336"/>
  </r>
  <r>
    <s v="Crystal Clear Consulting"/>
    <x v="0"/>
    <x v="1"/>
    <x v="0"/>
    <s v="Jodhpur"/>
    <x v="7"/>
    <x v="1"/>
    <x v="202"/>
    <x v="125"/>
    <n v="7366833"/>
  </r>
  <r>
    <s v="Apex Marketing Solutions"/>
    <x v="0"/>
    <x v="1"/>
    <x v="0"/>
    <s v="Varanasi"/>
    <x v="8"/>
    <x v="0"/>
    <x v="203"/>
    <x v="63"/>
    <n v="2103304"/>
  </r>
  <r>
    <s v="Zenith Innovations"/>
    <x v="0"/>
    <x v="1"/>
    <x v="2"/>
    <s v="Ranchi"/>
    <x v="13"/>
    <x v="0"/>
    <x v="204"/>
    <x v="147"/>
    <n v="3097165"/>
  </r>
  <r>
    <s v="Stellar Wellness Products"/>
    <x v="1"/>
    <x v="2"/>
    <x v="3"/>
    <s v="Kochi"/>
    <x v="14"/>
    <x v="0"/>
    <x v="205"/>
    <x v="165"/>
    <n v="5859720"/>
  </r>
  <r>
    <s v="Radiant Consulting Group"/>
    <x v="1"/>
    <x v="2"/>
    <x v="1"/>
    <s v="Aurangabad"/>
    <x v="1"/>
    <x v="0"/>
    <x v="206"/>
    <x v="138"/>
    <n v="1988600"/>
  </r>
  <r>
    <s v="Harmony Ventures Co."/>
    <x v="1"/>
    <x v="2"/>
    <x v="0"/>
    <s v="Shimla"/>
    <x v="15"/>
    <x v="1"/>
    <x v="207"/>
    <x v="166"/>
    <n v="4124160"/>
  </r>
  <r>
    <s v="Urban Path Technologies"/>
    <x v="1"/>
    <x v="2"/>
    <x v="0"/>
    <s v="Dehradun"/>
    <x v="16"/>
    <x v="0"/>
    <x v="208"/>
    <x v="81"/>
    <n v="6667920"/>
  </r>
  <r>
    <s v="True Essence Innovations"/>
    <x v="0"/>
    <x v="0"/>
    <x v="6"/>
    <s v="Guwahati"/>
    <x v="17"/>
    <x v="0"/>
    <x v="209"/>
    <x v="167"/>
    <n v="3627663"/>
  </r>
  <r>
    <s v="Pinnacle Media Group"/>
    <x v="0"/>
    <x v="0"/>
    <x v="0"/>
    <s v="Amritsar"/>
    <x v="18"/>
    <x v="0"/>
    <x v="210"/>
    <x v="35"/>
    <n v="4585152"/>
  </r>
  <r>
    <s v="Legacy Design Co."/>
    <x v="0"/>
    <x v="0"/>
    <x v="4"/>
    <s v="Raipur"/>
    <x v="19"/>
    <x v="0"/>
    <x v="211"/>
    <x v="168"/>
    <n v="6334720"/>
  </r>
  <r>
    <s v="Apex Health Products"/>
    <x v="0"/>
    <x v="0"/>
    <x v="2"/>
    <s v="Durgapur"/>
    <x v="2"/>
    <x v="1"/>
    <x v="212"/>
    <x v="169"/>
    <n v="3899259"/>
  </r>
  <r>
    <s v="Zenith Travel Ventures"/>
    <x v="0"/>
    <x v="0"/>
    <x v="2"/>
    <s v="Kolkata"/>
    <x v="2"/>
    <x v="1"/>
    <x v="213"/>
    <x v="170"/>
    <n v="7769412"/>
  </r>
  <r>
    <s v="Pure Path Consulting"/>
    <x v="0"/>
    <x v="0"/>
    <x v="4"/>
    <s v="Gwalior"/>
    <x v="9"/>
    <x v="1"/>
    <x v="214"/>
    <x v="171"/>
    <n v="4107438"/>
  </r>
  <r>
    <s v="Radiance Solutions Co."/>
    <x v="1"/>
    <x v="3"/>
    <x v="2"/>
    <s v="Jamshedpur"/>
    <x v="13"/>
    <x v="1"/>
    <x v="215"/>
    <x v="172"/>
    <n v="4485908"/>
  </r>
  <r>
    <s v="Modern Vision Ventures"/>
    <x v="1"/>
    <x v="3"/>
    <x v="2"/>
    <s v="Siliguri"/>
    <x v="2"/>
    <x v="1"/>
    <x v="216"/>
    <x v="8"/>
    <n v="1093743"/>
  </r>
  <r>
    <s v="Elite Travel Services"/>
    <x v="1"/>
    <x v="3"/>
    <x v="3"/>
    <s v="Mangalore"/>
    <x v="4"/>
    <x v="1"/>
    <x v="217"/>
    <x v="173"/>
    <n v="2642988"/>
  </r>
  <r>
    <s v="Horizon Creative Solutions"/>
    <x v="1"/>
    <x v="3"/>
    <x v="0"/>
    <s v="Delhi"/>
    <x v="0"/>
    <x v="1"/>
    <x v="218"/>
    <x v="174"/>
    <n v="6040980"/>
  </r>
  <r>
    <s v="Crystal Innovations Group"/>
    <x v="1"/>
    <x v="3"/>
    <x v="1"/>
    <s v="Mumbai"/>
    <x v="1"/>
    <x v="1"/>
    <x v="219"/>
    <x v="151"/>
    <n v="6855948"/>
  </r>
  <r>
    <s v="Pinnacle Fitness Studio"/>
    <x v="1"/>
    <x v="3"/>
    <x v="2"/>
    <s v="Kolkata"/>
    <x v="2"/>
    <x v="1"/>
    <x v="220"/>
    <x v="128"/>
    <n v="1243995"/>
  </r>
  <r>
    <s v="Stellar Travel Agency"/>
    <x v="1"/>
    <x v="3"/>
    <x v="3"/>
    <s v="Chennai"/>
    <x v="3"/>
    <x v="1"/>
    <x v="221"/>
    <x v="109"/>
    <n v="3282634"/>
  </r>
  <r>
    <s v="Harmony Educational Group"/>
    <x v="0"/>
    <x v="4"/>
    <x v="3"/>
    <s v="Bengaluru"/>
    <x v="4"/>
    <x v="0"/>
    <x v="222"/>
    <x v="175"/>
    <n v="1053920"/>
  </r>
  <r>
    <s v="Urban Spectrum Solutions"/>
    <x v="0"/>
    <x v="4"/>
    <x v="3"/>
    <s v="Hyderabad"/>
    <x v="5"/>
    <x v="0"/>
    <x v="223"/>
    <x v="176"/>
    <n v="2784796"/>
  </r>
  <r>
    <s v="Radiant Design Studio"/>
    <x v="0"/>
    <x v="4"/>
    <x v="1"/>
    <s v="Ahmedabad"/>
    <x v="6"/>
    <x v="0"/>
    <x v="224"/>
    <x v="177"/>
    <n v="2065005"/>
  </r>
  <r>
    <s v="Zenith Health Innovations"/>
    <x v="0"/>
    <x v="4"/>
    <x v="1"/>
    <s v="Pune"/>
    <x v="1"/>
    <x v="0"/>
    <x v="225"/>
    <x v="178"/>
    <n v="6743174"/>
  </r>
  <r>
    <s v="Apex Realty Ventures"/>
    <x v="0"/>
    <x v="4"/>
    <x v="0"/>
    <s v="Jaipur"/>
    <x v="7"/>
    <x v="0"/>
    <x v="226"/>
    <x v="142"/>
    <n v="4920480"/>
  </r>
  <r>
    <s v="Legacy Wellness Solutions"/>
    <x v="0"/>
    <x v="4"/>
    <x v="1"/>
    <s v="Surat"/>
    <x v="6"/>
    <x v="1"/>
    <x v="227"/>
    <x v="179"/>
    <n v="1415664"/>
  </r>
  <r>
    <s v="True Value Ventures"/>
    <x v="0"/>
    <x v="4"/>
    <x v="0"/>
    <s v="Lucknow"/>
    <x v="8"/>
    <x v="1"/>
    <x v="228"/>
    <x v="180"/>
    <n v="2492001"/>
  </r>
  <r>
    <s v="Horizon Media Solutions"/>
    <x v="0"/>
    <x v="4"/>
    <x v="0"/>
    <s v="Kanpur"/>
    <x v="8"/>
    <x v="1"/>
    <x v="229"/>
    <x v="181"/>
    <n v="4425484"/>
  </r>
  <r>
    <s v="Crystal Clear Designs"/>
    <x v="0"/>
    <x v="4"/>
    <x v="1"/>
    <s v="Nagpur"/>
    <x v="1"/>
    <x v="0"/>
    <x v="230"/>
    <x v="182"/>
    <n v="3915520"/>
  </r>
  <r>
    <s v="Pinnacle Innovations Co."/>
    <x v="0"/>
    <x v="4"/>
    <x v="4"/>
    <s v="Indore"/>
    <x v="9"/>
    <x v="0"/>
    <x v="231"/>
    <x v="42"/>
    <n v="1647398"/>
  </r>
  <r>
    <s v="Modern Pathways"/>
    <x v="0"/>
    <x v="4"/>
    <x v="1"/>
    <s v="Thane"/>
    <x v="1"/>
    <x v="0"/>
    <x v="232"/>
    <x v="183"/>
    <n v="4675605"/>
  </r>
  <r>
    <s v="Stellar Finance Co."/>
    <x v="0"/>
    <x v="4"/>
    <x v="5"/>
    <s v="Chandigarh"/>
    <x v="10"/>
    <x v="0"/>
    <x v="233"/>
    <x v="184"/>
    <n v="6775020"/>
  </r>
  <r>
    <s v="Radiant Spectrum Group"/>
    <x v="0"/>
    <x v="4"/>
    <x v="4"/>
    <s v="Bhopal"/>
    <x v="9"/>
    <x v="0"/>
    <x v="234"/>
    <x v="77"/>
    <n v="4716328"/>
  </r>
  <r>
    <s v="Harmony Design Ventures"/>
    <x v="0"/>
    <x v="4"/>
    <x v="3"/>
    <s v="Visakhapatnam"/>
    <x v="11"/>
    <x v="1"/>
    <x v="235"/>
    <x v="117"/>
    <n v="3670800"/>
  </r>
  <r>
    <s v="Elite Edge Products"/>
    <x v="0"/>
    <x v="4"/>
    <x v="2"/>
    <s v="Patna"/>
    <x v="12"/>
    <x v="1"/>
    <x v="236"/>
    <x v="185"/>
    <n v="1797276"/>
  </r>
  <r>
    <s v="Zenith Consulting Co."/>
    <x v="0"/>
    <x v="5"/>
    <x v="1"/>
    <s v="Vadodara"/>
    <x v="6"/>
    <x v="1"/>
    <x v="237"/>
    <x v="44"/>
    <n v="1117455"/>
  </r>
  <r>
    <s v="Apex Wellness Products"/>
    <x v="0"/>
    <x v="5"/>
    <x v="0"/>
    <s v="Agra"/>
    <x v="8"/>
    <x v="1"/>
    <x v="238"/>
    <x v="33"/>
    <n v="2037110"/>
  </r>
  <r>
    <s v="Urban Vision Solutions"/>
    <x v="0"/>
    <x v="5"/>
    <x v="0"/>
    <s v="Meerut"/>
    <x v="8"/>
    <x v="1"/>
    <x v="239"/>
    <x v="186"/>
    <n v="5819940"/>
  </r>
  <r>
    <s v="Pure Harmony Innovations"/>
    <x v="0"/>
    <x v="5"/>
    <x v="3"/>
    <s v="Coimbatore"/>
    <x v="3"/>
    <x v="1"/>
    <x v="240"/>
    <x v="100"/>
    <n v="4445500"/>
  </r>
  <r>
    <s v="Legacy Media Group"/>
    <x v="0"/>
    <x v="5"/>
    <x v="3"/>
    <s v="Madurai"/>
    <x v="3"/>
    <x v="1"/>
    <x v="241"/>
    <x v="187"/>
    <n v="3252402"/>
  </r>
  <r>
    <s v="Pinnacle Travel Solutions"/>
    <x v="0"/>
    <x v="5"/>
    <x v="0"/>
    <s v="Jodhpur"/>
    <x v="7"/>
    <x v="0"/>
    <x v="242"/>
    <x v="188"/>
    <n v="3336606"/>
  </r>
  <r>
    <s v="Horizon Tech Innovations"/>
    <x v="0"/>
    <x v="5"/>
    <x v="0"/>
    <s v="Varanasi"/>
    <x v="8"/>
    <x v="0"/>
    <x v="243"/>
    <x v="189"/>
    <n v="3959640"/>
  </r>
  <r>
    <s v="Crystal Spectrum Consulting"/>
    <x v="0"/>
    <x v="5"/>
    <x v="2"/>
    <s v="Ranchi"/>
    <x v="13"/>
    <x v="0"/>
    <x v="244"/>
    <x v="190"/>
    <n v="3552240"/>
  </r>
  <r>
    <s v="Stellar Creative Co."/>
    <x v="0"/>
    <x v="5"/>
    <x v="3"/>
    <s v="Kochi"/>
    <x v="14"/>
    <x v="0"/>
    <x v="245"/>
    <x v="191"/>
    <n v="6414320"/>
  </r>
  <r>
    <s v="Radiance Media Ventures"/>
    <x v="0"/>
    <x v="5"/>
    <x v="1"/>
    <s v="Aurangabad"/>
    <x v="1"/>
    <x v="1"/>
    <x v="246"/>
    <x v="192"/>
    <n v="2553980"/>
  </r>
  <r>
    <s v="Harmony Health Solutions"/>
    <x v="0"/>
    <x v="5"/>
    <x v="0"/>
    <s v="Shimla"/>
    <x v="15"/>
    <x v="0"/>
    <x v="247"/>
    <x v="193"/>
    <n v="2927020"/>
  </r>
  <r>
    <s v="Zenith Edge Services"/>
    <x v="0"/>
    <x v="5"/>
    <x v="0"/>
    <s v="Dehradun"/>
    <x v="16"/>
    <x v="0"/>
    <x v="248"/>
    <x v="194"/>
    <n v="2357547"/>
  </r>
  <r>
    <s v="Apex Travel Ventures"/>
    <x v="1"/>
    <x v="6"/>
    <x v="6"/>
    <s v="Guwahati"/>
    <x v="17"/>
    <x v="0"/>
    <x v="249"/>
    <x v="195"/>
    <n v="1240575"/>
  </r>
  <r>
    <s v="Modern Vision Solutions"/>
    <x v="1"/>
    <x v="6"/>
    <x v="0"/>
    <s v="Amritsar"/>
    <x v="18"/>
    <x v="0"/>
    <x v="250"/>
    <x v="136"/>
    <n v="1705632"/>
  </r>
  <r>
    <s v="True Path Consulting"/>
    <x v="1"/>
    <x v="6"/>
    <x v="4"/>
    <s v="Raipur"/>
    <x v="19"/>
    <x v="1"/>
    <x v="251"/>
    <x v="196"/>
    <n v="4258261"/>
  </r>
  <r>
    <s v="Legacy Finance Group"/>
    <x v="1"/>
    <x v="6"/>
    <x v="2"/>
    <s v="Durgapur"/>
    <x v="2"/>
    <x v="1"/>
    <x v="252"/>
    <x v="197"/>
    <n v="5919366"/>
  </r>
  <r>
    <s v="Pinnacle Design Ventures"/>
    <x v="1"/>
    <x v="6"/>
    <x v="1"/>
    <s v="Vadodara"/>
    <x v="6"/>
    <x v="1"/>
    <x v="253"/>
    <x v="186"/>
    <n v="5193090"/>
  </r>
  <r>
    <s v="Stellar Innovations Co."/>
    <x v="1"/>
    <x v="6"/>
    <x v="0"/>
    <s v="Agra"/>
    <x v="8"/>
    <x v="1"/>
    <x v="254"/>
    <x v="198"/>
    <n v="9222833"/>
  </r>
  <r>
    <s v="Radiant Educational Solutions"/>
    <x v="1"/>
    <x v="6"/>
    <x v="0"/>
    <s v="Meerut"/>
    <x v="8"/>
    <x v="1"/>
    <x v="255"/>
    <x v="117"/>
    <n v="1135050"/>
  </r>
  <r>
    <s v="Harmony Marketing Co."/>
    <x v="1"/>
    <x v="6"/>
    <x v="3"/>
    <s v="Coimbatore"/>
    <x v="3"/>
    <x v="1"/>
    <x v="256"/>
    <x v="106"/>
    <n v="7271810"/>
  </r>
  <r>
    <s v="Urban Tech Innovations"/>
    <x v="1"/>
    <x v="6"/>
    <x v="3"/>
    <s v="Madurai"/>
    <x v="3"/>
    <x v="1"/>
    <x v="257"/>
    <x v="199"/>
    <n v="1287616"/>
  </r>
  <r>
    <s v="Crystal Wellness Group"/>
    <x v="1"/>
    <x v="6"/>
    <x v="0"/>
    <s v="Jodhpur"/>
    <x v="7"/>
    <x v="1"/>
    <x v="258"/>
    <x v="140"/>
    <n v="2340720"/>
  </r>
  <r>
    <s v="Zenith Creative Solutions"/>
    <x v="1"/>
    <x v="6"/>
    <x v="0"/>
    <s v="Varanasi"/>
    <x v="8"/>
    <x v="1"/>
    <x v="259"/>
    <x v="60"/>
    <n v="6225168"/>
  </r>
  <r>
    <s v="Apex Media Co."/>
    <x v="1"/>
    <x v="6"/>
    <x v="2"/>
    <s v="Ranchi"/>
    <x v="13"/>
    <x v="1"/>
    <x v="260"/>
    <x v="200"/>
    <n v="4601856"/>
  </r>
  <r>
    <s v="Pure Vision Solutions"/>
    <x v="1"/>
    <x v="7"/>
    <x v="3"/>
    <s v="Kochi"/>
    <x v="14"/>
    <x v="1"/>
    <x v="261"/>
    <x v="201"/>
    <n v="5025273"/>
  </r>
  <r>
    <s v="Legacy Health Ventures"/>
    <x v="1"/>
    <x v="7"/>
    <x v="1"/>
    <s v="Aurangabad"/>
    <x v="1"/>
    <x v="1"/>
    <x v="262"/>
    <x v="56"/>
    <n v="1862499"/>
  </r>
  <r>
    <s v="Pinnacle Spectrum Co."/>
    <x v="1"/>
    <x v="7"/>
    <x v="0"/>
    <s v="Shimla"/>
    <x v="15"/>
    <x v="1"/>
    <x v="263"/>
    <x v="202"/>
    <n v="2236572"/>
  </r>
  <r>
    <s v="Stellar Travel Products"/>
    <x v="1"/>
    <x v="7"/>
    <x v="0"/>
    <s v="Dehradun"/>
    <x v="16"/>
    <x v="1"/>
    <x v="264"/>
    <x v="203"/>
    <n v="5532150"/>
  </r>
  <r>
    <s v="Radiance Finance Services"/>
    <x v="1"/>
    <x v="7"/>
    <x v="6"/>
    <s v="Guwahati"/>
    <x v="17"/>
    <x v="1"/>
    <x v="265"/>
    <x v="204"/>
    <n v="2886224"/>
  </r>
  <r>
    <s v="Harmony Edge Solutions"/>
    <x v="1"/>
    <x v="7"/>
    <x v="0"/>
    <s v="Amritsar"/>
    <x v="18"/>
    <x v="0"/>
    <x v="266"/>
    <x v="205"/>
    <n v="1095917"/>
  </r>
  <r>
    <s v="Modern Travel Agency"/>
    <x v="1"/>
    <x v="7"/>
    <x v="4"/>
    <s v="Raipur"/>
    <x v="19"/>
    <x v="0"/>
    <x v="267"/>
    <x v="206"/>
    <n v="9388344"/>
  </r>
  <r>
    <s v="Crystal Path Consulting"/>
    <x v="1"/>
    <x v="7"/>
    <x v="2"/>
    <s v="Durgapur"/>
    <x v="2"/>
    <x v="0"/>
    <x v="268"/>
    <x v="207"/>
    <n v="1835447"/>
  </r>
  <r>
    <s v="Zenith Educational Services"/>
    <x v="1"/>
    <x v="7"/>
    <x v="2"/>
    <s v="Kolkata"/>
    <x v="2"/>
    <x v="0"/>
    <x v="269"/>
    <x v="74"/>
    <n v="991827"/>
  </r>
  <r>
    <s v="Apex Innovations Co."/>
    <x v="1"/>
    <x v="7"/>
    <x v="4"/>
    <s v="Gwalior"/>
    <x v="9"/>
    <x v="0"/>
    <x v="270"/>
    <x v="106"/>
    <n v="7275450"/>
  </r>
  <r>
    <s v="Pure Harmony Health"/>
    <x v="1"/>
    <x v="7"/>
    <x v="2"/>
    <s v="Jamshedpur"/>
    <x v="13"/>
    <x v="1"/>
    <x v="271"/>
    <x v="112"/>
    <n v="4083068"/>
  </r>
  <r>
    <s v="Legacy Travel Ventures"/>
    <x v="2"/>
    <x v="8"/>
    <x v="2"/>
    <s v="Siliguri"/>
    <x v="2"/>
    <x v="1"/>
    <x v="272"/>
    <x v="5"/>
    <n v="7355340"/>
  </r>
  <r>
    <s v="Pinnacle Media Solutions"/>
    <x v="2"/>
    <x v="8"/>
    <x v="3"/>
    <s v="Mangalore"/>
    <x v="4"/>
    <x v="1"/>
    <x v="273"/>
    <x v="208"/>
    <n v="3149685"/>
  </r>
  <r>
    <s v="Stellar Design Group"/>
    <x v="2"/>
    <x v="8"/>
    <x v="0"/>
    <s v="Delhi"/>
    <x v="0"/>
    <x v="1"/>
    <x v="274"/>
    <x v="209"/>
    <n v="7783403"/>
  </r>
  <r>
    <s v="Radiant Tech Solutions"/>
    <x v="2"/>
    <x v="8"/>
    <x v="1"/>
    <s v="Mumbai"/>
    <x v="1"/>
    <x v="1"/>
    <x v="275"/>
    <x v="210"/>
    <n v="3665389"/>
  </r>
  <r>
    <s v="Horizon Ventures Co."/>
    <x v="2"/>
    <x v="8"/>
    <x v="0"/>
    <s v="Amritsar"/>
    <x v="18"/>
    <x v="1"/>
    <x v="276"/>
    <x v="211"/>
    <n v="1472128"/>
  </r>
  <r>
    <s v="Elite Creative Solutions"/>
    <x v="2"/>
    <x v="8"/>
    <x v="4"/>
    <s v="Raipur"/>
    <x v="19"/>
    <x v="1"/>
    <x v="277"/>
    <x v="67"/>
    <n v="5501238"/>
  </r>
  <r>
    <s v="Zenith Wellness Services"/>
    <x v="2"/>
    <x v="8"/>
    <x v="2"/>
    <s v="Durgapur"/>
    <x v="2"/>
    <x v="0"/>
    <x v="278"/>
    <x v="212"/>
    <n v="2023728"/>
  </r>
  <r>
    <s v="Apex Travel Innovations"/>
    <x v="1"/>
    <x v="6"/>
    <x v="1"/>
    <s v="Vadodara"/>
    <x v="6"/>
    <x v="0"/>
    <x v="279"/>
    <x v="126"/>
    <n v="6516559"/>
  </r>
  <r>
    <s v="Modern Health Products"/>
    <x v="1"/>
    <x v="6"/>
    <x v="0"/>
    <s v="Agra"/>
    <x v="8"/>
    <x v="0"/>
    <x v="280"/>
    <x v="213"/>
    <n v="5645400"/>
  </r>
  <r>
    <s v="Harmony Finance Group"/>
    <x v="1"/>
    <x v="6"/>
    <x v="0"/>
    <s v="Meerut"/>
    <x v="8"/>
    <x v="0"/>
    <x v="281"/>
    <x v="214"/>
    <n v="4713390"/>
  </r>
  <r>
    <s v="Pure Vision Consulting"/>
    <x v="1"/>
    <x v="6"/>
    <x v="3"/>
    <s v="Coimbatore"/>
    <x v="3"/>
    <x v="1"/>
    <x v="282"/>
    <x v="215"/>
    <n v="1891515"/>
  </r>
  <r>
    <s v="Legacy Spectrum Co."/>
    <x v="1"/>
    <x v="6"/>
    <x v="3"/>
    <s v="Madurai"/>
    <x v="3"/>
    <x v="0"/>
    <x v="283"/>
    <x v="216"/>
    <n v="4058496"/>
  </r>
  <r>
    <s v="Pinnacle Design Solutions"/>
    <x v="1"/>
    <x v="7"/>
    <x v="0"/>
    <s v="Jodhpur"/>
    <x v="7"/>
    <x v="0"/>
    <x v="284"/>
    <x v="118"/>
    <n v="8662190"/>
  </r>
  <r>
    <s v="Stellar Media Services"/>
    <x v="1"/>
    <x v="7"/>
    <x v="0"/>
    <s v="Varanasi"/>
    <x v="8"/>
    <x v="0"/>
    <x v="285"/>
    <x v="217"/>
    <n v="4392796"/>
  </r>
  <r>
    <s v="Radiant Innovations Group"/>
    <x v="1"/>
    <x v="7"/>
    <x v="2"/>
    <s v="Ranchi"/>
    <x v="13"/>
    <x v="0"/>
    <x v="286"/>
    <x v="180"/>
    <n v="6510213"/>
  </r>
  <r>
    <s v="Horizon Path Ventures"/>
    <x v="1"/>
    <x v="7"/>
    <x v="3"/>
    <s v="Kochi"/>
    <x v="14"/>
    <x v="1"/>
    <x v="287"/>
    <x v="218"/>
    <n v="1499740"/>
  </r>
  <r>
    <s v="Zenith Tech Co."/>
    <x v="1"/>
    <x v="7"/>
    <x v="1"/>
    <s v="Aurangabad"/>
    <x v="1"/>
    <x v="1"/>
    <x v="288"/>
    <x v="219"/>
    <n v="1802123"/>
  </r>
  <r>
    <s v="Apex Finance Ventures"/>
    <x v="1"/>
    <x v="7"/>
    <x v="0"/>
    <s v="Shimla"/>
    <x v="15"/>
    <x v="1"/>
    <x v="289"/>
    <x v="107"/>
    <n v="6216651"/>
  </r>
  <r>
    <s v="Pure Harmony Solutions"/>
    <x v="2"/>
    <x v="9"/>
    <x v="0"/>
    <s v="Dehradun"/>
    <x v="16"/>
    <x v="1"/>
    <x v="290"/>
    <x v="101"/>
    <n v="8358176"/>
  </r>
  <r>
    <s v="Legacy Travel Co."/>
    <x v="2"/>
    <x v="9"/>
    <x v="6"/>
    <s v="Guwahati"/>
    <x v="17"/>
    <x v="1"/>
    <x v="291"/>
    <x v="220"/>
    <n v="6400398"/>
  </r>
  <r>
    <s v="Pinnacle Innovations Group"/>
    <x v="2"/>
    <x v="9"/>
    <x v="0"/>
    <s v="Amritsar"/>
    <x v="18"/>
    <x v="1"/>
    <x v="292"/>
    <x v="221"/>
    <n v="4462157"/>
  </r>
  <r>
    <s v="Stellar Health Services"/>
    <x v="2"/>
    <x v="9"/>
    <x v="4"/>
    <s v="Raipur"/>
    <x v="19"/>
    <x v="1"/>
    <x v="293"/>
    <x v="222"/>
    <n v="2066148"/>
  </r>
  <r>
    <s v="Radiance Design Co."/>
    <x v="2"/>
    <x v="9"/>
    <x v="2"/>
    <s v="Durgapur"/>
    <x v="2"/>
    <x v="1"/>
    <x v="294"/>
    <x v="223"/>
    <n v="2542512"/>
  </r>
  <r>
    <s v="Harmony Consulting Group"/>
    <x v="2"/>
    <x v="9"/>
    <x v="2"/>
    <s v="Kolkata"/>
    <x v="2"/>
    <x v="1"/>
    <x v="295"/>
    <x v="224"/>
    <n v="6978458"/>
  </r>
  <r>
    <s v="Zenith Path Solutions"/>
    <x v="2"/>
    <x v="9"/>
    <x v="4"/>
    <s v="Gwalior"/>
    <x v="9"/>
    <x v="1"/>
    <x v="296"/>
    <x v="182"/>
    <n v="6803520"/>
  </r>
  <r>
    <s v="Apex Educational Group"/>
    <x v="2"/>
    <x v="9"/>
    <x v="2"/>
    <s v="Jamshedpur"/>
    <x v="13"/>
    <x v="0"/>
    <x v="297"/>
    <x v="225"/>
    <n v="3585208"/>
  </r>
  <r>
    <s v="Modern Wellness Co."/>
    <x v="2"/>
    <x v="9"/>
    <x v="2"/>
    <s v="Siliguri"/>
    <x v="2"/>
    <x v="0"/>
    <x v="298"/>
    <x v="226"/>
    <n v="6159346"/>
  </r>
  <r>
    <s v="Pure Spectrum Innovations"/>
    <x v="2"/>
    <x v="9"/>
    <x v="0"/>
    <s v="Varanasi"/>
    <x v="8"/>
    <x v="0"/>
    <x v="299"/>
    <x v="227"/>
    <n v="2738122"/>
  </r>
  <r>
    <s v="Legacy Media Solutions"/>
    <x v="2"/>
    <x v="9"/>
    <x v="2"/>
    <s v="Ranchi"/>
    <x v="13"/>
    <x v="0"/>
    <x v="300"/>
    <x v="228"/>
    <n v="8545086"/>
  </r>
  <r>
    <s v="Pinnacle Travel Co."/>
    <x v="2"/>
    <x v="9"/>
    <x v="3"/>
    <s v="Kochi"/>
    <x v="14"/>
    <x v="0"/>
    <x v="301"/>
    <x v="229"/>
    <n v="5095535"/>
  </r>
  <r>
    <s v="Stellar Consulting Services"/>
    <x v="0"/>
    <x v="5"/>
    <x v="1"/>
    <s v="Aurangabad"/>
    <x v="1"/>
    <x v="1"/>
    <x v="302"/>
    <x v="75"/>
    <n v="1283040"/>
  </r>
  <r>
    <s v="Radiant Ventures"/>
    <x v="0"/>
    <x v="5"/>
    <x v="0"/>
    <s v="Shimla"/>
    <x v="15"/>
    <x v="1"/>
    <x v="303"/>
    <x v="230"/>
    <n v="4926420"/>
  </r>
  <r>
    <s v="Harmony Tech Co."/>
    <x v="0"/>
    <x v="5"/>
    <x v="0"/>
    <s v="Dehradun"/>
    <x v="16"/>
    <x v="1"/>
    <x v="304"/>
    <x v="49"/>
    <n v="5093820"/>
  </r>
  <r>
    <s v="Zenith Creative Ventures"/>
    <x v="0"/>
    <x v="5"/>
    <x v="6"/>
    <s v="Guwahati"/>
    <x v="17"/>
    <x v="0"/>
    <x v="305"/>
    <x v="231"/>
    <n v="5399177"/>
  </r>
  <r>
    <s v="Apex Health Services"/>
    <x v="0"/>
    <x v="5"/>
    <x v="0"/>
    <s v="Amritsar"/>
    <x v="18"/>
    <x v="0"/>
    <x v="306"/>
    <x v="122"/>
    <n v="1998444"/>
  </r>
  <r>
    <s v="Pure Vision Media"/>
    <x v="0"/>
    <x v="5"/>
    <x v="4"/>
    <s v="Raipur"/>
    <x v="19"/>
    <x v="0"/>
    <x v="307"/>
    <x v="128"/>
    <n v="3945651"/>
  </r>
  <r>
    <s v="Legacy Innovations Group"/>
    <x v="0"/>
    <x v="5"/>
    <x v="2"/>
    <s v="Durgapur"/>
    <x v="2"/>
    <x v="0"/>
    <x v="308"/>
    <x v="227"/>
    <n v="5484132"/>
  </r>
  <r>
    <s v="Pinnacle Consulting Co."/>
    <x v="0"/>
    <x v="5"/>
    <x v="2"/>
    <s v="Kolkata"/>
    <x v="2"/>
    <x v="0"/>
    <x v="151"/>
    <x v="184"/>
    <n v="3140415"/>
  </r>
  <r>
    <s v="Stellar Finance Group"/>
    <x v="0"/>
    <x v="5"/>
    <x v="4"/>
    <s v="Gwalior"/>
    <x v="9"/>
    <x v="1"/>
    <x v="309"/>
    <x v="232"/>
    <n v="1256384"/>
  </r>
  <r>
    <s v="Radiant Solutions Co."/>
    <x v="0"/>
    <x v="5"/>
    <x v="2"/>
    <s v="Jamshedpur"/>
    <x v="13"/>
    <x v="1"/>
    <x v="310"/>
    <x v="49"/>
    <n v="3390120"/>
  </r>
  <r>
    <s v="Harmony Ventures Group"/>
    <x v="0"/>
    <x v="5"/>
    <x v="1"/>
    <s v="Vadodara"/>
    <x v="6"/>
    <x v="1"/>
    <x v="311"/>
    <x v="181"/>
    <n v="6444114"/>
  </r>
  <r>
    <s v="Zenith Wellness Co."/>
    <x v="1"/>
    <x v="6"/>
    <x v="0"/>
    <s v="Agra"/>
    <x v="8"/>
    <x v="1"/>
    <x v="26"/>
    <x v="233"/>
    <n v="1889280"/>
  </r>
  <r>
    <s v="Apex Design Services"/>
    <x v="1"/>
    <x v="6"/>
    <x v="0"/>
    <s v="Meerut"/>
    <x v="8"/>
    <x v="1"/>
    <x v="312"/>
    <x v="83"/>
    <n v="3403326"/>
  </r>
  <r>
    <s v="Modern Travel Solutions"/>
    <x v="1"/>
    <x v="6"/>
    <x v="3"/>
    <s v="Coimbatore"/>
    <x v="3"/>
    <x v="1"/>
    <x v="313"/>
    <x v="234"/>
    <n v="7445810"/>
  </r>
  <r>
    <s v="Pure Health Ventures"/>
    <x v="1"/>
    <x v="6"/>
    <x v="3"/>
    <s v="Madurai"/>
    <x v="3"/>
    <x v="1"/>
    <x v="314"/>
    <x v="235"/>
    <n v="8036326"/>
  </r>
  <r>
    <s v="Legacy Spectrum Group"/>
    <x v="1"/>
    <x v="6"/>
    <x v="0"/>
    <s v="Jodhpur"/>
    <x v="7"/>
    <x v="0"/>
    <x v="84"/>
    <x v="236"/>
    <n v="6268499"/>
  </r>
  <r>
    <s v="Pinnacle Media Ventures"/>
    <x v="1"/>
    <x v="6"/>
    <x v="0"/>
    <s v="Varanasi"/>
    <x v="8"/>
    <x v="0"/>
    <x v="315"/>
    <x v="67"/>
    <n v="5701962"/>
  </r>
  <r>
    <s v="Stellar Innovations Group"/>
    <x v="1"/>
    <x v="6"/>
    <x v="2"/>
    <s v="Ranchi"/>
    <x v="13"/>
    <x v="0"/>
    <x v="316"/>
    <x v="237"/>
    <n v="5302275"/>
  </r>
  <r>
    <s v="Radiant Educational Co."/>
    <x v="1"/>
    <x v="6"/>
    <x v="3"/>
    <s v="Kochi"/>
    <x v="14"/>
    <x v="0"/>
    <x v="317"/>
    <x v="238"/>
    <n v="5224190"/>
  </r>
  <r>
    <s v="Harmony Edge Ventures"/>
    <x v="1"/>
    <x v="6"/>
    <x v="1"/>
    <s v="Aurangabad"/>
    <x v="1"/>
    <x v="1"/>
    <x v="318"/>
    <x v="111"/>
    <n v="2695488"/>
  </r>
  <r>
    <s v="Zenith Tech Solutions"/>
    <x v="1"/>
    <x v="6"/>
    <x v="0"/>
    <s v="Shimla"/>
    <x v="15"/>
    <x v="0"/>
    <x v="319"/>
    <x v="157"/>
    <n v="5145410"/>
  </r>
  <r>
    <s v="Apex Finance Group"/>
    <x v="1"/>
    <x v="6"/>
    <x v="0"/>
    <s v="Dehradun"/>
    <x v="16"/>
    <x v="0"/>
    <x v="320"/>
    <x v="239"/>
    <n v="6053400"/>
  </r>
  <r>
    <s v="Pure Harmony Media"/>
    <x v="1"/>
    <x v="6"/>
    <x v="6"/>
    <s v="Guwahati"/>
    <x v="17"/>
    <x v="0"/>
    <x v="321"/>
    <x v="240"/>
    <n v="4156466"/>
  </r>
  <r>
    <s v="Legacy Health Co."/>
    <x v="1"/>
    <x v="7"/>
    <x v="0"/>
    <s v="Amritsar"/>
    <x v="18"/>
    <x v="0"/>
    <x v="322"/>
    <x v="241"/>
    <n v="3425638"/>
  </r>
  <r>
    <m/>
    <x v="3"/>
    <x v="10"/>
    <x v="7"/>
    <m/>
    <x v="20"/>
    <x v="2"/>
    <x v="323"/>
    <x v="242"/>
    <n v="13863088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3BCD6-7265-47B2-A8C4-05320999C5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M14" firstHeaderRow="1" firstDataRow="2" firstDataCol="1" rowPageCount="2" colPageCount="1"/>
  <pivotFields count="10">
    <pivotField showAll="0"/>
    <pivotField showAll="0">
      <items count="5">
        <item x="2"/>
        <item x="0"/>
        <item x="1"/>
        <item x="3"/>
        <item t="default"/>
      </items>
    </pivotField>
    <pivotField axis="axisCol" showAll="0">
      <items count="12">
        <item x="8"/>
        <item x="1"/>
        <item x="9"/>
        <item x="5"/>
        <item x="3"/>
        <item x="6"/>
        <item x="0"/>
        <item x="7"/>
        <item x="4"/>
        <item x="2"/>
        <item x="10"/>
        <item t="default"/>
      </items>
    </pivotField>
    <pivotField axis="axisRow" showAll="0">
      <items count="9">
        <item x="4"/>
        <item x="2"/>
        <item x="0"/>
        <item x="5"/>
        <item x="6"/>
        <item x="3"/>
        <item x="1"/>
        <item x="7"/>
        <item t="default"/>
      </items>
    </pivotField>
    <pivotField showAll="0"/>
    <pivotField axis="axisPage" showAll="0">
      <items count="22">
        <item x="11"/>
        <item x="17"/>
        <item x="12"/>
        <item x="10"/>
        <item x="19"/>
        <item x="0"/>
        <item x="6"/>
        <item x="15"/>
        <item x="13"/>
        <item x="4"/>
        <item x="14"/>
        <item x="9"/>
        <item x="1"/>
        <item x="18"/>
        <item x="7"/>
        <item x="3"/>
        <item x="5"/>
        <item x="8"/>
        <item x="16"/>
        <item x="2"/>
        <item x="2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2">
    <pageField fld="5" hier="-1"/>
    <pageField fld="6" hier="-1"/>
  </pageField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9C429-3D8E-43AA-B4C4-470DA690C5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:E13" firstHeaderRow="1" firstDataRow="3" firstDataCol="1" rowPageCount="3" colPageCount="1"/>
  <pivotFields count="10">
    <pivotField showAll="0"/>
    <pivotField axis="axisCol" showAll="0">
      <items count="5">
        <item h="1" x="2"/>
        <item x="0"/>
        <item h="1" x="1"/>
        <item h="1" x="3"/>
        <item t="default"/>
      </items>
    </pivotField>
    <pivotField axis="axisRow" showAll="0">
      <items count="12">
        <item x="8"/>
        <item x="1"/>
        <item x="9"/>
        <item x="5"/>
        <item x="3"/>
        <item x="6"/>
        <item x="0"/>
        <item x="7"/>
        <item x="4"/>
        <item x="2"/>
        <item x="10"/>
        <item t="default"/>
      </items>
    </pivotField>
    <pivotField showAll="0">
      <items count="9">
        <item x="4"/>
        <item x="2"/>
        <item x="0"/>
        <item x="5"/>
        <item x="6"/>
        <item x="3"/>
        <item x="1"/>
        <item x="7"/>
        <item t="default"/>
      </items>
    </pivotField>
    <pivotField showAll="0"/>
    <pivotField axis="axisPage" showAll="0">
      <items count="22">
        <item x="11"/>
        <item x="17"/>
        <item x="12"/>
        <item x="10"/>
        <item x="19"/>
        <item x="0"/>
        <item x="6"/>
        <item x="15"/>
        <item x="13"/>
        <item x="4"/>
        <item x="14"/>
        <item x="9"/>
        <item x="1"/>
        <item x="18"/>
        <item x="7"/>
        <item x="3"/>
        <item x="5"/>
        <item x="8"/>
        <item x="16"/>
        <item x="2"/>
        <item x="2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>
      <items count="325">
        <item x="130"/>
        <item x="78"/>
        <item x="9"/>
        <item x="266"/>
        <item x="48"/>
        <item x="276"/>
        <item x="220"/>
        <item x="269"/>
        <item x="30"/>
        <item x="194"/>
        <item x="237"/>
        <item x="222"/>
        <item x="98"/>
        <item x="257"/>
        <item x="288"/>
        <item x="85"/>
        <item x="13"/>
        <item x="158"/>
        <item x="71"/>
        <item x="216"/>
        <item x="188"/>
        <item x="140"/>
        <item x="255"/>
        <item x="302"/>
        <item x="27"/>
        <item x="23"/>
        <item x="287"/>
        <item x="182"/>
        <item x="249"/>
        <item x="227"/>
        <item x="224"/>
        <item x="169"/>
        <item x="175"/>
        <item x="115"/>
        <item x="293"/>
        <item x="309"/>
        <item x="2"/>
        <item x="66"/>
        <item x="201"/>
        <item x="129"/>
        <item x="206"/>
        <item x="82"/>
        <item x="278"/>
        <item x="90"/>
        <item x="25"/>
        <item x="306"/>
        <item x="294"/>
        <item x="132"/>
        <item x="122"/>
        <item x="250"/>
        <item x="94"/>
        <item x="196"/>
        <item x="8"/>
        <item x="282"/>
        <item x="231"/>
        <item x="174"/>
        <item x="136"/>
        <item x="299"/>
        <item x="248"/>
        <item x="147"/>
        <item x="28"/>
        <item x="263"/>
        <item x="193"/>
        <item x="29"/>
        <item x="26"/>
        <item x="65"/>
        <item x="187"/>
        <item x="31"/>
        <item x="100"/>
        <item x="262"/>
        <item x="34"/>
        <item x="77"/>
        <item x="258"/>
        <item x="273"/>
        <item x="236"/>
        <item x="80"/>
        <item x="139"/>
        <item x="70"/>
        <item x="123"/>
        <item x="45"/>
        <item x="268"/>
        <item x="15"/>
        <item x="151"/>
        <item x="76"/>
        <item x="24"/>
        <item x="203"/>
        <item x="135"/>
        <item x="228"/>
        <item x="223"/>
        <item x="149"/>
        <item x="56"/>
        <item x="238"/>
        <item x="3"/>
        <item x="192"/>
        <item x="221"/>
        <item x="265"/>
        <item x="96"/>
        <item x="145"/>
        <item x="39"/>
        <item x="10"/>
        <item x="137"/>
        <item x="12"/>
        <item x="5"/>
        <item x="275"/>
        <item x="183"/>
        <item x="11"/>
        <item x="0"/>
        <item x="207"/>
        <item x="22"/>
        <item x="127"/>
        <item x="177"/>
        <item x="191"/>
        <item x="170"/>
        <item x="244"/>
        <item x="4"/>
        <item x="89"/>
        <item x="16"/>
        <item x="42"/>
        <item x="247"/>
        <item x="185"/>
        <item x="36"/>
        <item x="195"/>
        <item x="131"/>
        <item x="212"/>
        <item x="95"/>
        <item x="176"/>
        <item x="69"/>
        <item x="318"/>
        <item x="143"/>
        <item x="68"/>
        <item x="246"/>
        <item x="141"/>
        <item x="181"/>
        <item x="114"/>
        <item x="72"/>
        <item x="125"/>
        <item x="189"/>
        <item x="153"/>
        <item x="217"/>
        <item x="230"/>
        <item x="271"/>
        <item x="285"/>
        <item x="322"/>
        <item x="106"/>
        <item x="121"/>
        <item x="112"/>
        <item x="241"/>
        <item x="37"/>
        <item x="117"/>
        <item x="134"/>
        <item x="63"/>
        <item x="307"/>
        <item x="312"/>
        <item x="210"/>
        <item x="142"/>
        <item x="305"/>
        <item x="162"/>
        <item x="308"/>
        <item x="62"/>
        <item x="19"/>
        <item x="79"/>
        <item x="197"/>
        <item x="264"/>
        <item x="321"/>
        <item x="128"/>
        <item x="102"/>
        <item x="242"/>
        <item x="297"/>
        <item x="40"/>
        <item x="154"/>
        <item x="198"/>
        <item x="161"/>
        <item x="43"/>
        <item x="107"/>
        <item x="319"/>
        <item x="105"/>
        <item x="251"/>
        <item x="303"/>
        <item x="218"/>
        <item x="101"/>
        <item x="243"/>
        <item x="73"/>
        <item x="171"/>
        <item x="204"/>
        <item x="14"/>
        <item x="119"/>
        <item x="172"/>
        <item x="116"/>
        <item x="74"/>
        <item x="310"/>
        <item x="209"/>
        <item x="53"/>
        <item x="108"/>
        <item x="190"/>
        <item x="124"/>
        <item x="235"/>
        <item x="316"/>
        <item x="120"/>
        <item x="229"/>
        <item x="166"/>
        <item x="52"/>
        <item x="252"/>
        <item x="7"/>
        <item x="17"/>
        <item x="320"/>
        <item x="234"/>
        <item x="167"/>
        <item x="301"/>
        <item x="44"/>
        <item x="84"/>
        <item x="289"/>
        <item x="59"/>
        <item x="60"/>
        <item x="91"/>
        <item x="283"/>
        <item x="211"/>
        <item x="277"/>
        <item x="87"/>
        <item x="50"/>
        <item x="165"/>
        <item x="260"/>
        <item x="35"/>
        <item x="103"/>
        <item x="113"/>
        <item x="97"/>
        <item x="64"/>
        <item x="232"/>
        <item x="280"/>
        <item x="33"/>
        <item x="315"/>
        <item x="155"/>
        <item x="259"/>
        <item x="186"/>
        <item x="118"/>
        <item x="205"/>
        <item x="88"/>
        <item x="202"/>
        <item x="215"/>
        <item x="168"/>
        <item x="163"/>
        <item x="138"/>
        <item x="152"/>
        <item x="81"/>
        <item x="225"/>
        <item x="159"/>
        <item x="295"/>
        <item x="272"/>
        <item x="164"/>
        <item x="214"/>
        <item x="279"/>
        <item x="245"/>
        <item x="233"/>
        <item x="256"/>
        <item x="270"/>
        <item x="173"/>
        <item x="1"/>
        <item x="126"/>
        <item x="83"/>
        <item x="160"/>
        <item x="292"/>
        <item x="184"/>
        <item x="213"/>
        <item x="156"/>
        <item x="291"/>
        <item x="157"/>
        <item x="253"/>
        <item x="86"/>
        <item x="41"/>
        <item x="133"/>
        <item x="92"/>
        <item x="54"/>
        <item x="261"/>
        <item x="219"/>
        <item x="111"/>
        <item x="93"/>
        <item x="18"/>
        <item x="290"/>
        <item x="150"/>
        <item x="240"/>
        <item x="67"/>
        <item x="281"/>
        <item x="317"/>
        <item x="99"/>
        <item x="296"/>
        <item x="58"/>
        <item x="61"/>
        <item x="109"/>
        <item x="104"/>
        <item x="226"/>
        <item x="208"/>
        <item x="6"/>
        <item x="298"/>
        <item x="55"/>
        <item x="32"/>
        <item x="75"/>
        <item x="300"/>
        <item x="239"/>
        <item x="274"/>
        <item x="178"/>
        <item x="144"/>
        <item x="49"/>
        <item x="284"/>
        <item x="110"/>
        <item x="304"/>
        <item x="46"/>
        <item x="38"/>
        <item x="199"/>
        <item x="180"/>
        <item x="20"/>
        <item x="57"/>
        <item x="267"/>
        <item x="200"/>
        <item x="311"/>
        <item x="21"/>
        <item x="51"/>
        <item x="314"/>
        <item x="179"/>
        <item x="254"/>
        <item x="313"/>
        <item x="286"/>
        <item x="146"/>
        <item x="47"/>
        <item x="148"/>
        <item x="323"/>
        <item t="default"/>
      </items>
    </pivotField>
    <pivotField axis="axisPage" showAll="0">
      <items count="244">
        <item x="100"/>
        <item x="90"/>
        <item x="150"/>
        <item x="207"/>
        <item x="147"/>
        <item x="137"/>
        <item x="114"/>
        <item x="9"/>
        <item x="161"/>
        <item x="84"/>
        <item x="173"/>
        <item x="192"/>
        <item x="33"/>
        <item x="171"/>
        <item x="116"/>
        <item x="214"/>
        <item x="146"/>
        <item x="185"/>
        <item x="232"/>
        <item x="156"/>
        <item x="25"/>
        <item x="71"/>
        <item x="49"/>
        <item x="15"/>
        <item x="158"/>
        <item x="142"/>
        <item x="221"/>
        <item x="108"/>
        <item x="111"/>
        <item x="27"/>
        <item x="175"/>
        <item x="43"/>
        <item x="160"/>
        <item x="8"/>
        <item x="63"/>
        <item x="162"/>
        <item x="74"/>
        <item x="167"/>
        <item x="117"/>
        <item x="216"/>
        <item x="1"/>
        <item x="188"/>
        <item x="238"/>
        <item x="201"/>
        <item x="89"/>
        <item x="195"/>
        <item x="132"/>
        <item x="56"/>
        <item x="149"/>
        <item x="29"/>
        <item x="172"/>
        <item x="187"/>
        <item x="42"/>
        <item x="153"/>
        <item x="6"/>
        <item x="17"/>
        <item x="44"/>
        <item x="163"/>
        <item x="83"/>
        <item x="129"/>
        <item x="193"/>
        <item x="225"/>
        <item x="97"/>
        <item x="38"/>
        <item x="186"/>
        <item x="2"/>
        <item x="18"/>
        <item x="65"/>
        <item x="73"/>
        <item x="145"/>
        <item x="104"/>
        <item x="233"/>
        <item x="200"/>
        <item x="10"/>
        <item x="183"/>
        <item x="16"/>
        <item x="189"/>
        <item x="75"/>
        <item x="136"/>
        <item x="241"/>
        <item x="133"/>
        <item x="180"/>
        <item x="205"/>
        <item x="164"/>
        <item x="55"/>
        <item x="94"/>
        <item x="13"/>
        <item x="131"/>
        <item x="181"/>
        <item x="66"/>
        <item x="226"/>
        <item x="179"/>
        <item x="102"/>
        <item x="199"/>
        <item x="98"/>
        <item x="130"/>
        <item x="46"/>
        <item x="30"/>
        <item x="92"/>
        <item x="77"/>
        <item x="85"/>
        <item x="23"/>
        <item x="215"/>
        <item x="196"/>
        <item x="86"/>
        <item x="57"/>
        <item x="204"/>
        <item x="45"/>
        <item x="128"/>
        <item x="70"/>
        <item x="140"/>
        <item x="155"/>
        <item x="61"/>
        <item x="95"/>
        <item x="240"/>
        <item x="176"/>
        <item x="81"/>
        <item x="113"/>
        <item x="96"/>
        <item x="7"/>
        <item x="99"/>
        <item x="64"/>
        <item x="218"/>
        <item x="26"/>
        <item x="229"/>
        <item x="93"/>
        <item x="234"/>
        <item x="182"/>
        <item x="59"/>
        <item x="202"/>
        <item x="37"/>
        <item x="213"/>
        <item x="122"/>
        <item x="67"/>
        <item x="190"/>
        <item x="112"/>
        <item x="0"/>
        <item x="144"/>
        <item x="220"/>
        <item x="120"/>
        <item x="165"/>
        <item x="151"/>
        <item x="212"/>
        <item x="28"/>
        <item x="143"/>
        <item x="11"/>
        <item x="230"/>
        <item x="48"/>
        <item x="50"/>
        <item x="4"/>
        <item x="191"/>
        <item x="138"/>
        <item x="109"/>
        <item x="169"/>
        <item x="141"/>
        <item x="237"/>
        <item x="110"/>
        <item x="235"/>
        <item x="194"/>
        <item x="35"/>
        <item x="126"/>
        <item x="32"/>
        <item x="31"/>
        <item x="217"/>
        <item x="209"/>
        <item x="53"/>
        <item x="12"/>
        <item x="60"/>
        <item x="184"/>
        <item x="210"/>
        <item x="20"/>
        <item x="157"/>
        <item x="127"/>
        <item x="72"/>
        <item x="79"/>
        <item x="68"/>
        <item x="211"/>
        <item x="91"/>
        <item x="76"/>
        <item x="47"/>
        <item x="115"/>
        <item x="103"/>
        <item x="178"/>
        <item x="54"/>
        <item x="197"/>
        <item x="41"/>
        <item x="62"/>
        <item x="19"/>
        <item x="14"/>
        <item x="159"/>
        <item x="168"/>
        <item x="21"/>
        <item x="123"/>
        <item x="239"/>
        <item x="40"/>
        <item x="69"/>
        <item x="124"/>
        <item x="3"/>
        <item x="224"/>
        <item x="107"/>
        <item x="106"/>
        <item x="222"/>
        <item x="51"/>
        <item x="39"/>
        <item x="236"/>
        <item x="118"/>
        <item x="148"/>
        <item x="228"/>
        <item x="36"/>
        <item x="88"/>
        <item x="121"/>
        <item x="22"/>
        <item x="152"/>
        <item x="101"/>
        <item x="208"/>
        <item x="198"/>
        <item x="119"/>
        <item x="87"/>
        <item x="34"/>
        <item x="219"/>
        <item x="5"/>
        <item x="170"/>
        <item x="134"/>
        <item x="82"/>
        <item x="166"/>
        <item x="139"/>
        <item x="52"/>
        <item x="24"/>
        <item x="231"/>
        <item x="203"/>
        <item x="80"/>
        <item x="58"/>
        <item x="78"/>
        <item x="177"/>
        <item x="206"/>
        <item x="135"/>
        <item x="227"/>
        <item x="223"/>
        <item x="174"/>
        <item x="105"/>
        <item x="154"/>
        <item x="125"/>
        <item x="242"/>
        <item t="default"/>
      </items>
    </pivotField>
    <pivotField dataField="1" showAll="0"/>
  </pivotFields>
  <rowFields count="1">
    <field x="2"/>
  </rowFields>
  <rowItems count="5">
    <i>
      <x v="1"/>
    </i>
    <i>
      <x v="3"/>
    </i>
    <i>
      <x v="6"/>
    </i>
    <i>
      <x v="8"/>
    </i>
    <i t="grand">
      <x/>
    </i>
  </rowItems>
  <colFields count="2">
    <field x="1"/>
    <field x="-2"/>
  </colFields>
  <colItems count="4">
    <i>
      <x v="1"/>
      <x/>
    </i>
    <i r="1" i="1">
      <x v="1"/>
    </i>
    <i t="grand">
      <x/>
    </i>
    <i t="grand" i="1">
      <x/>
    </i>
  </colItems>
  <pageFields count="3">
    <pageField fld="5" hier="-1"/>
    <pageField fld="6" item="1" hier="-1"/>
    <pageField fld="8" hier="-1"/>
  </pageFields>
  <dataFields count="2">
    <dataField name="Average of Amount" fld="9" subtotal="average" baseField="2" baseItem="0"/>
    <dataField name="Sum of Quantity" fld="7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6D5BD-055C-44D3-99E5-95948B1A6DFA}" name="Table1" displayName="Table1" ref="A1:J332" totalsRowShown="0" headerRowDxfId="13" dataDxfId="11" headerRowBorderDxfId="12" tableBorderDxfId="10">
  <autoFilter ref="A1:J332" xr:uid="{5526D5BD-055C-44D3-99E5-95948B1A6DFA}"/>
  <tableColumns count="10">
    <tableColumn id="1" xr3:uid="{BE4CC903-FD1F-4407-BE6B-69BC1C303EE7}" name="Name" dataDxfId="9"/>
    <tableColumn id="2" xr3:uid="{8FED6F36-1D03-4A18-9BAE-DBBED7099EBB}" name="Category" dataDxfId="8"/>
    <tableColumn id="3" xr3:uid="{CB0280DC-9018-4CF1-96BA-9233D883AC92}" name="Product Name" dataDxfId="7"/>
    <tableColumn id="4" xr3:uid="{998AC99D-D64D-4B48-916A-B5B23503A31F}" name="Region" dataDxfId="6"/>
    <tableColumn id="5" xr3:uid="{0C0B8BB7-FC03-4AE1-93E8-5E76A300294A}" name="City" dataDxfId="5"/>
    <tableColumn id="6" xr3:uid="{11192C70-57F3-4A61-9868-57CB4A7B2000}" name="State" dataDxfId="4"/>
    <tableColumn id="7" xr3:uid="{D437BB22-0D7A-42DB-8BC0-C8AA606D7211}" name="Gender" dataDxfId="3"/>
    <tableColumn id="8" xr3:uid="{93635657-E9D2-46CC-9A73-D6017B18BC64}" name="Quantity" dataDxfId="2"/>
    <tableColumn id="9" xr3:uid="{57573C6D-B694-485F-904A-4FC4675B92D5}" name="Rate" dataDxfId="1"/>
    <tableColumn id="10" xr3:uid="{E92E0127-9FC5-4A61-B7D5-6EF63813CF6E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mehta@gmail.com" TargetMode="External"/><Relationship Id="rId13" Type="http://schemas.openxmlformats.org/officeDocument/2006/relationships/hyperlink" Target="mailto:rohitverma@gmail.com" TargetMode="External"/><Relationship Id="rId18" Type="http://schemas.openxmlformats.org/officeDocument/2006/relationships/hyperlink" Target="mailto:shrutisinha@gmail.com" TargetMode="External"/><Relationship Id="rId3" Type="http://schemas.openxmlformats.org/officeDocument/2006/relationships/hyperlink" Target="mailto:rohangupta@gmail.com" TargetMode="External"/><Relationship Id="rId7" Type="http://schemas.openxmlformats.org/officeDocument/2006/relationships/hyperlink" Target="mailto:arjunrao@gmail.com" TargetMode="External"/><Relationship Id="rId12" Type="http://schemas.openxmlformats.org/officeDocument/2006/relationships/hyperlink" Target="mailto:aishwaryasingh@gmail.com" TargetMode="External"/><Relationship Id="rId17" Type="http://schemas.openxmlformats.org/officeDocument/2006/relationships/hyperlink" Target="mailto:raviyadav@gmail.com" TargetMode="External"/><Relationship Id="rId2" Type="http://schemas.openxmlformats.org/officeDocument/2006/relationships/hyperlink" Target="mailto:priyakapoor@gmail.com" TargetMode="External"/><Relationship Id="rId16" Type="http://schemas.openxmlformats.org/officeDocument/2006/relationships/hyperlink" Target="mailto:manishajoshi@gmail.com" TargetMode="External"/><Relationship Id="rId20" Type="http://schemas.openxmlformats.org/officeDocument/2006/relationships/hyperlink" Target="mailto:deepikaagarwal@gmail.com" TargetMode="External"/><Relationship Id="rId1" Type="http://schemas.openxmlformats.org/officeDocument/2006/relationships/hyperlink" Target="mailto:aaravsharma@gmail.com" TargetMode="External"/><Relationship Id="rId6" Type="http://schemas.openxmlformats.org/officeDocument/2006/relationships/hyperlink" Target="mailto:ananyaiyer@gmail.com" TargetMode="External"/><Relationship Id="rId11" Type="http://schemas.openxmlformats.org/officeDocument/2006/relationships/hyperlink" Target="mailto:rajeshkumar@gmail.com" TargetMode="External"/><Relationship Id="rId5" Type="http://schemas.openxmlformats.org/officeDocument/2006/relationships/hyperlink" Target="mailto:vijaypatel@gmail.com" TargetMode="External"/><Relationship Id="rId15" Type="http://schemas.openxmlformats.org/officeDocument/2006/relationships/hyperlink" Target="mailto:sureshnair@gmail.com" TargetMode="External"/><Relationship Id="rId10" Type="http://schemas.openxmlformats.org/officeDocument/2006/relationships/hyperlink" Target="mailto:simranchoudhury@gmail.com" TargetMode="External"/><Relationship Id="rId19" Type="http://schemas.openxmlformats.org/officeDocument/2006/relationships/hyperlink" Target="mailto:vikrambhatia@gmail.com" TargetMode="External"/><Relationship Id="rId4" Type="http://schemas.openxmlformats.org/officeDocument/2006/relationships/hyperlink" Target="mailto:nehadesai@gmail.com" TargetMode="External"/><Relationship Id="rId9" Type="http://schemas.openxmlformats.org/officeDocument/2006/relationships/hyperlink" Target="mailto:karthikreddy@gmail.com" TargetMode="External"/><Relationship Id="rId14" Type="http://schemas.openxmlformats.org/officeDocument/2006/relationships/hyperlink" Target="mailto:poojabhattachar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338B-3712-4027-BF1A-0FA70341C278}">
  <dimension ref="B1:L437"/>
  <sheetViews>
    <sheetView zoomScale="96" zoomScaleNormal="96" workbookViewId="0">
      <selection activeCell="L1" sqref="L1"/>
    </sheetView>
  </sheetViews>
  <sheetFormatPr defaultRowHeight="14.4" x14ac:dyDescent="0.3"/>
  <cols>
    <col min="2" max="2" width="26.6640625" bestFit="1" customWidth="1"/>
    <col min="3" max="3" width="26.6640625" customWidth="1"/>
    <col min="4" max="4" width="12.44140625" bestFit="1" customWidth="1"/>
    <col min="5" max="5" width="19.21875" bestFit="1" customWidth="1"/>
    <col min="6" max="6" width="20.6640625" bestFit="1" customWidth="1"/>
    <col min="7" max="7" width="14.21875" bestFit="1" customWidth="1"/>
    <col min="8" max="8" width="16.109375" bestFit="1" customWidth="1"/>
    <col min="9" max="9" width="16.109375" customWidth="1"/>
    <col min="10" max="10" width="12.109375" bestFit="1" customWidth="1"/>
    <col min="11" max="11" width="6.88671875" bestFit="1" customWidth="1"/>
    <col min="12" max="12" width="22.44140625" customWidth="1"/>
  </cols>
  <sheetData>
    <row r="1" spans="2:12" ht="21" x14ac:dyDescent="0.3">
      <c r="B1" s="14" t="s">
        <v>0</v>
      </c>
      <c r="C1" s="25" t="s">
        <v>417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6" t="s">
        <v>9</v>
      </c>
    </row>
    <row r="2" spans="2:12" x14ac:dyDescent="0.3">
      <c r="B2" s="17" t="s">
        <v>10</v>
      </c>
      <c r="C2" s="26" t="s">
        <v>418</v>
      </c>
      <c r="D2" s="13" t="s">
        <v>11</v>
      </c>
      <c r="E2" s="13" t="s">
        <v>12</v>
      </c>
      <c r="F2" s="13" t="s">
        <v>13</v>
      </c>
      <c r="G2" s="13" t="s">
        <v>14</v>
      </c>
      <c r="H2" s="13" t="s">
        <v>14</v>
      </c>
      <c r="I2" s="13" t="s">
        <v>15</v>
      </c>
      <c r="J2" s="13">
        <v>4292</v>
      </c>
      <c r="K2" s="13">
        <v>783</v>
      </c>
      <c r="L2" s="18">
        <v>3360636</v>
      </c>
    </row>
    <row r="3" spans="2:12" x14ac:dyDescent="0.3">
      <c r="B3" s="17" t="s">
        <v>16</v>
      </c>
      <c r="C3" s="26" t="s">
        <v>418</v>
      </c>
      <c r="D3" s="13" t="s">
        <v>11</v>
      </c>
      <c r="E3" s="13" t="s">
        <v>17</v>
      </c>
      <c r="F3" s="13" t="s">
        <v>18</v>
      </c>
      <c r="G3" s="13" t="s">
        <v>19</v>
      </c>
      <c r="H3" s="13" t="s">
        <v>20</v>
      </c>
      <c r="I3" s="13" t="s">
        <v>15</v>
      </c>
      <c r="J3" s="13">
        <v>8037</v>
      </c>
      <c r="K3" s="13">
        <v>578</v>
      </c>
      <c r="L3" s="18">
        <v>4645386</v>
      </c>
    </row>
    <row r="4" spans="2:12" x14ac:dyDescent="0.3">
      <c r="B4" s="17" t="s">
        <v>21</v>
      </c>
      <c r="C4" s="26" t="s">
        <v>418</v>
      </c>
      <c r="D4" s="13" t="s">
        <v>11</v>
      </c>
      <c r="E4" s="13" t="s">
        <v>17</v>
      </c>
      <c r="F4" s="13" t="s">
        <v>22</v>
      </c>
      <c r="G4" s="13" t="s">
        <v>23</v>
      </c>
      <c r="H4" s="13" t="s">
        <v>24</v>
      </c>
      <c r="I4" s="13" t="s">
        <v>15</v>
      </c>
      <c r="J4" s="13">
        <v>2415</v>
      </c>
      <c r="K4" s="13">
        <v>631</v>
      </c>
      <c r="L4" s="18">
        <v>1523865</v>
      </c>
    </row>
    <row r="5" spans="2:12" x14ac:dyDescent="0.3">
      <c r="B5" s="17" t="s">
        <v>25</v>
      </c>
      <c r="C5" s="26" t="s">
        <v>418</v>
      </c>
      <c r="D5" s="13" t="s">
        <v>11</v>
      </c>
      <c r="E5" s="13" t="s">
        <v>17</v>
      </c>
      <c r="F5" s="13" t="s">
        <v>26</v>
      </c>
      <c r="G5" s="13" t="s">
        <v>27</v>
      </c>
      <c r="H5" s="13" t="s">
        <v>28</v>
      </c>
      <c r="I5" s="13" t="s">
        <v>15</v>
      </c>
      <c r="J5" s="13">
        <v>3941</v>
      </c>
      <c r="K5" s="13">
        <v>905</v>
      </c>
      <c r="L5" s="18">
        <v>3566605</v>
      </c>
    </row>
    <row r="6" spans="2:12" x14ac:dyDescent="0.3">
      <c r="B6" s="17" t="s">
        <v>29</v>
      </c>
      <c r="C6" s="26" t="s">
        <v>418</v>
      </c>
      <c r="D6" s="13" t="s">
        <v>30</v>
      </c>
      <c r="E6" s="13" t="s">
        <v>31</v>
      </c>
      <c r="F6" s="13" t="s">
        <v>26</v>
      </c>
      <c r="G6" s="13" t="s">
        <v>32</v>
      </c>
      <c r="H6" s="13" t="s">
        <v>33</v>
      </c>
      <c r="I6" s="13" t="s">
        <v>15</v>
      </c>
      <c r="J6" s="13">
        <v>4607</v>
      </c>
      <c r="K6" s="13">
        <v>813</v>
      </c>
      <c r="L6" s="18">
        <v>3745491</v>
      </c>
    </row>
    <row r="7" spans="2:12" x14ac:dyDescent="0.3">
      <c r="B7" s="17" t="s">
        <v>34</v>
      </c>
      <c r="C7" s="26" t="s">
        <v>418</v>
      </c>
      <c r="D7" s="13" t="s">
        <v>30</v>
      </c>
      <c r="E7" s="13" t="s">
        <v>31</v>
      </c>
      <c r="F7" s="13" t="s">
        <v>26</v>
      </c>
      <c r="G7" s="13" t="s">
        <v>35</v>
      </c>
      <c r="H7" s="13" t="s">
        <v>36</v>
      </c>
      <c r="I7" s="13" t="s">
        <v>15</v>
      </c>
      <c r="J7" s="13">
        <v>4261</v>
      </c>
      <c r="K7" s="13">
        <v>954</v>
      </c>
      <c r="L7" s="18">
        <v>4064994</v>
      </c>
    </row>
    <row r="8" spans="2:12" x14ac:dyDescent="0.3">
      <c r="B8" s="17" t="s">
        <v>37</v>
      </c>
      <c r="C8" s="26" t="s">
        <v>418</v>
      </c>
      <c r="D8" s="13" t="s">
        <v>30</v>
      </c>
      <c r="E8" s="13" t="s">
        <v>31</v>
      </c>
      <c r="F8" s="13" t="s">
        <v>18</v>
      </c>
      <c r="G8" s="13" t="s">
        <v>38</v>
      </c>
      <c r="H8" s="13" t="s">
        <v>39</v>
      </c>
      <c r="I8" s="13" t="s">
        <v>15</v>
      </c>
      <c r="J8" s="13">
        <v>9084</v>
      </c>
      <c r="K8" s="13">
        <v>610</v>
      </c>
      <c r="L8" s="18">
        <v>5541240</v>
      </c>
    </row>
    <row r="9" spans="2:12" x14ac:dyDescent="0.3">
      <c r="B9" s="17" t="s">
        <v>140</v>
      </c>
      <c r="C9" s="26" t="s">
        <v>418</v>
      </c>
      <c r="D9" s="13" t="s">
        <v>30</v>
      </c>
      <c r="E9" s="13" t="s">
        <v>133</v>
      </c>
      <c r="F9" s="13" t="s">
        <v>63</v>
      </c>
      <c r="G9" s="13" t="s">
        <v>64</v>
      </c>
      <c r="H9" s="13" t="s">
        <v>64</v>
      </c>
      <c r="I9" s="13" t="s">
        <v>45</v>
      </c>
      <c r="J9" s="13">
        <v>9102</v>
      </c>
      <c r="K9" s="13">
        <v>894</v>
      </c>
      <c r="L9" s="18">
        <v>8137188</v>
      </c>
    </row>
    <row r="10" spans="2:12" x14ac:dyDescent="0.3">
      <c r="B10" s="17" t="s">
        <v>141</v>
      </c>
      <c r="C10" s="26" t="s">
        <v>418</v>
      </c>
      <c r="D10" s="13" t="s">
        <v>30</v>
      </c>
      <c r="E10" s="13" t="s">
        <v>133</v>
      </c>
      <c r="F10" s="13" t="s">
        <v>56</v>
      </c>
      <c r="G10" s="13" t="s">
        <v>66</v>
      </c>
      <c r="H10" s="13" t="s">
        <v>58</v>
      </c>
      <c r="I10" s="13" t="s">
        <v>45</v>
      </c>
      <c r="J10" s="13">
        <v>3887</v>
      </c>
      <c r="K10" s="13">
        <v>912</v>
      </c>
      <c r="L10" s="18">
        <v>3544944</v>
      </c>
    </row>
    <row r="11" spans="2:12" x14ac:dyDescent="0.3">
      <c r="B11" s="17" t="s">
        <v>142</v>
      </c>
      <c r="C11" s="26" t="s">
        <v>418</v>
      </c>
      <c r="D11" s="13" t="s">
        <v>30</v>
      </c>
      <c r="E11" s="13" t="s">
        <v>133</v>
      </c>
      <c r="F11" s="13" t="s">
        <v>26</v>
      </c>
      <c r="G11" s="13" t="s">
        <v>68</v>
      </c>
      <c r="H11" s="13" t="s">
        <v>69</v>
      </c>
      <c r="I11" s="13" t="s">
        <v>15</v>
      </c>
      <c r="J11" s="13">
        <v>9519</v>
      </c>
      <c r="K11" s="13">
        <v>970</v>
      </c>
      <c r="L11" s="18">
        <v>9233430</v>
      </c>
    </row>
    <row r="12" spans="2:12" x14ac:dyDescent="0.3">
      <c r="B12" s="17" t="s">
        <v>143</v>
      </c>
      <c r="C12" s="26" t="s">
        <v>418</v>
      </c>
      <c r="D12" s="13" t="s">
        <v>30</v>
      </c>
      <c r="E12" s="13" t="s">
        <v>133</v>
      </c>
      <c r="F12" s="13" t="s">
        <v>22</v>
      </c>
      <c r="G12" s="13" t="s">
        <v>71</v>
      </c>
      <c r="H12" s="13" t="s">
        <v>72</v>
      </c>
      <c r="I12" s="13" t="s">
        <v>15</v>
      </c>
      <c r="J12" s="13">
        <v>8983</v>
      </c>
      <c r="K12" s="13">
        <v>840</v>
      </c>
      <c r="L12" s="18">
        <v>7545720</v>
      </c>
    </row>
    <row r="13" spans="2:12" x14ac:dyDescent="0.3">
      <c r="B13" s="17" t="s">
        <v>144</v>
      </c>
      <c r="C13" s="26" t="s">
        <v>418</v>
      </c>
      <c r="D13" s="13" t="s">
        <v>30</v>
      </c>
      <c r="E13" s="13" t="s">
        <v>133</v>
      </c>
      <c r="F13" s="13" t="s">
        <v>18</v>
      </c>
      <c r="G13" s="13" t="s">
        <v>74</v>
      </c>
      <c r="H13" s="13" t="s">
        <v>39</v>
      </c>
      <c r="I13" s="13" t="s">
        <v>15</v>
      </c>
      <c r="J13" s="13">
        <v>6892</v>
      </c>
      <c r="K13" s="13">
        <v>643</v>
      </c>
      <c r="L13" s="18">
        <v>4431556</v>
      </c>
    </row>
    <row r="14" spans="2:12" x14ac:dyDescent="0.3">
      <c r="B14" s="17" t="s">
        <v>145</v>
      </c>
      <c r="C14" s="26" t="s">
        <v>418</v>
      </c>
      <c r="D14" s="13" t="s">
        <v>30</v>
      </c>
      <c r="E14" s="13" t="s">
        <v>146</v>
      </c>
      <c r="F14" s="13" t="s">
        <v>13</v>
      </c>
      <c r="G14" s="13" t="s">
        <v>76</v>
      </c>
      <c r="H14" s="13" t="s">
        <v>50</v>
      </c>
      <c r="I14" s="13" t="s">
        <v>15</v>
      </c>
      <c r="J14" s="13">
        <v>6946</v>
      </c>
      <c r="K14" s="13">
        <v>882</v>
      </c>
      <c r="L14" s="18">
        <v>6126372</v>
      </c>
    </row>
    <row r="15" spans="2:12" x14ac:dyDescent="0.3">
      <c r="B15" s="17" t="s">
        <v>147</v>
      </c>
      <c r="C15" s="26" t="s">
        <v>418</v>
      </c>
      <c r="D15" s="13" t="s">
        <v>30</v>
      </c>
      <c r="E15" s="13" t="s">
        <v>146</v>
      </c>
      <c r="F15" s="13" t="s">
        <v>13</v>
      </c>
      <c r="G15" s="13" t="s">
        <v>79</v>
      </c>
      <c r="H15" s="13" t="s">
        <v>50</v>
      </c>
      <c r="I15" s="13" t="s">
        <v>45</v>
      </c>
      <c r="J15" s="13">
        <v>8990</v>
      </c>
      <c r="K15" s="13">
        <v>666</v>
      </c>
      <c r="L15" s="18">
        <v>5987340</v>
      </c>
    </row>
    <row r="16" spans="2:12" x14ac:dyDescent="0.3">
      <c r="B16" s="17" t="s">
        <v>148</v>
      </c>
      <c r="C16" s="26" t="s">
        <v>418</v>
      </c>
      <c r="D16" s="13" t="s">
        <v>30</v>
      </c>
      <c r="E16" s="13" t="s">
        <v>146</v>
      </c>
      <c r="F16" s="13" t="s">
        <v>26</v>
      </c>
      <c r="G16" s="13" t="s">
        <v>81</v>
      </c>
      <c r="H16" s="13" t="s">
        <v>28</v>
      </c>
      <c r="I16" s="13" t="s">
        <v>15</v>
      </c>
      <c r="J16" s="13">
        <v>5594</v>
      </c>
      <c r="K16" s="13">
        <v>615</v>
      </c>
      <c r="L16" s="18">
        <v>3440310</v>
      </c>
    </row>
    <row r="17" spans="2:12" x14ac:dyDescent="0.3">
      <c r="B17" s="17" t="s">
        <v>149</v>
      </c>
      <c r="C17" s="26" t="s">
        <v>418</v>
      </c>
      <c r="D17" s="13" t="s">
        <v>30</v>
      </c>
      <c r="E17" s="13" t="s">
        <v>146</v>
      </c>
      <c r="F17" s="13" t="s">
        <v>26</v>
      </c>
      <c r="G17" s="13" t="s">
        <v>83</v>
      </c>
      <c r="H17" s="13" t="s">
        <v>28</v>
      </c>
      <c r="I17" s="13" t="s">
        <v>15</v>
      </c>
      <c r="J17" s="13">
        <v>5491</v>
      </c>
      <c r="K17" s="13">
        <v>601</v>
      </c>
      <c r="L17" s="18">
        <v>3300091</v>
      </c>
    </row>
    <row r="18" spans="2:12" x14ac:dyDescent="0.3">
      <c r="B18" s="17" t="s">
        <v>150</v>
      </c>
      <c r="C18" s="26" t="s">
        <v>418</v>
      </c>
      <c r="D18" s="13" t="s">
        <v>30</v>
      </c>
      <c r="E18" s="13" t="s">
        <v>146</v>
      </c>
      <c r="F18" s="13" t="s">
        <v>13</v>
      </c>
      <c r="G18" s="13" t="s">
        <v>85</v>
      </c>
      <c r="H18" s="13" t="s">
        <v>44</v>
      </c>
      <c r="I18" s="13" t="s">
        <v>15</v>
      </c>
      <c r="J18" s="13">
        <v>7225</v>
      </c>
      <c r="K18" s="13">
        <v>711</v>
      </c>
      <c r="L18" s="18">
        <v>5136975</v>
      </c>
    </row>
    <row r="19" spans="2:12" x14ac:dyDescent="0.3">
      <c r="B19" s="17" t="s">
        <v>151</v>
      </c>
      <c r="C19" s="26" t="s">
        <v>418</v>
      </c>
      <c r="D19" s="13" t="s">
        <v>30</v>
      </c>
      <c r="E19" s="13" t="s">
        <v>146</v>
      </c>
      <c r="F19" s="13" t="s">
        <v>13</v>
      </c>
      <c r="G19" s="13" t="s">
        <v>87</v>
      </c>
      <c r="H19" s="13" t="s">
        <v>50</v>
      </c>
      <c r="I19" s="13" t="s">
        <v>15</v>
      </c>
      <c r="J19" s="13">
        <v>2966</v>
      </c>
      <c r="K19" s="13">
        <v>977</v>
      </c>
      <c r="L19" s="18">
        <v>2897782</v>
      </c>
    </row>
    <row r="20" spans="2:12" x14ac:dyDescent="0.3">
      <c r="B20" s="17" t="s">
        <v>152</v>
      </c>
      <c r="C20" s="26" t="s">
        <v>418</v>
      </c>
      <c r="D20" s="13" t="s">
        <v>30</v>
      </c>
      <c r="E20" s="13" t="s">
        <v>146</v>
      </c>
      <c r="F20" s="13" t="s">
        <v>22</v>
      </c>
      <c r="G20" s="13" t="s">
        <v>89</v>
      </c>
      <c r="H20" s="13" t="s">
        <v>90</v>
      </c>
      <c r="I20" s="13" t="s">
        <v>45</v>
      </c>
      <c r="J20" s="13">
        <v>2421</v>
      </c>
      <c r="K20" s="13">
        <v>765</v>
      </c>
      <c r="L20" s="18">
        <v>1852065</v>
      </c>
    </row>
    <row r="21" spans="2:12" x14ac:dyDescent="0.3">
      <c r="B21" s="17" t="s">
        <v>40</v>
      </c>
      <c r="C21" s="26" t="s">
        <v>418</v>
      </c>
      <c r="D21" s="13" t="s">
        <v>30</v>
      </c>
      <c r="E21" s="13" t="s">
        <v>31</v>
      </c>
      <c r="F21" s="13" t="s">
        <v>18</v>
      </c>
      <c r="G21" s="13" t="s">
        <v>41</v>
      </c>
      <c r="H21" s="13" t="s">
        <v>20</v>
      </c>
      <c r="I21" s="13" t="s">
        <v>15</v>
      </c>
      <c r="J21" s="13">
        <v>6694</v>
      </c>
      <c r="K21" s="13">
        <v>742</v>
      </c>
      <c r="L21" s="18">
        <v>4966948</v>
      </c>
    </row>
    <row r="22" spans="2:12" x14ac:dyDescent="0.3">
      <c r="B22" s="17" t="s">
        <v>42</v>
      </c>
      <c r="C22" s="26" t="s">
        <v>418</v>
      </c>
      <c r="D22" s="13" t="s">
        <v>11</v>
      </c>
      <c r="E22" s="13" t="s">
        <v>12</v>
      </c>
      <c r="F22" s="13" t="s">
        <v>13</v>
      </c>
      <c r="G22" s="13" t="s">
        <v>43</v>
      </c>
      <c r="H22" s="13" t="s">
        <v>44</v>
      </c>
      <c r="I22" s="13" t="s">
        <v>45</v>
      </c>
      <c r="J22" s="13">
        <v>2678</v>
      </c>
      <c r="K22" s="13">
        <v>567</v>
      </c>
      <c r="L22" s="18">
        <v>1518426</v>
      </c>
    </row>
    <row r="23" spans="2:12" x14ac:dyDescent="0.3">
      <c r="B23" s="17" t="s">
        <v>46</v>
      </c>
      <c r="C23" s="26" t="s">
        <v>419</v>
      </c>
      <c r="D23" s="13" t="s">
        <v>11</v>
      </c>
      <c r="E23" s="13" t="s">
        <v>12</v>
      </c>
      <c r="F23" s="13" t="s">
        <v>18</v>
      </c>
      <c r="G23" s="13" t="s">
        <v>47</v>
      </c>
      <c r="H23" s="13" t="s">
        <v>39</v>
      </c>
      <c r="I23" s="13" t="s">
        <v>45</v>
      </c>
      <c r="J23" s="13">
        <v>1631</v>
      </c>
      <c r="K23" s="13">
        <v>508</v>
      </c>
      <c r="L23" s="18">
        <v>828548</v>
      </c>
    </row>
    <row r="24" spans="2:12" x14ac:dyDescent="0.3">
      <c r="B24" s="17" t="s">
        <v>48</v>
      </c>
      <c r="C24" s="26" t="s">
        <v>419</v>
      </c>
      <c r="D24" s="13" t="s">
        <v>11</v>
      </c>
      <c r="E24" s="13" t="s">
        <v>12</v>
      </c>
      <c r="F24" s="13" t="s">
        <v>13</v>
      </c>
      <c r="G24" s="13" t="s">
        <v>49</v>
      </c>
      <c r="H24" s="13" t="s">
        <v>50</v>
      </c>
      <c r="I24" s="13" t="s">
        <v>45</v>
      </c>
      <c r="J24" s="13">
        <v>4171</v>
      </c>
      <c r="K24" s="13">
        <v>643</v>
      </c>
      <c r="L24" s="18">
        <v>2681953</v>
      </c>
    </row>
    <row r="25" spans="2:12" x14ac:dyDescent="0.3">
      <c r="B25" s="17" t="s">
        <v>51</v>
      </c>
      <c r="C25" s="26" t="s">
        <v>419</v>
      </c>
      <c r="D25" s="13" t="s">
        <v>11</v>
      </c>
      <c r="E25" s="13" t="s">
        <v>12</v>
      </c>
      <c r="F25" s="13" t="s">
        <v>13</v>
      </c>
      <c r="G25" s="13" t="s">
        <v>52</v>
      </c>
      <c r="H25" s="13" t="s">
        <v>50</v>
      </c>
      <c r="I25" s="13" t="s">
        <v>45</v>
      </c>
      <c r="J25" s="13">
        <v>4283</v>
      </c>
      <c r="K25" s="13">
        <v>804</v>
      </c>
      <c r="L25" s="18">
        <v>3443532</v>
      </c>
    </row>
    <row r="26" spans="2:12" x14ac:dyDescent="0.3">
      <c r="B26" s="17" t="s">
        <v>53</v>
      </c>
      <c r="C26" s="26" t="s">
        <v>419</v>
      </c>
      <c r="D26" s="13" t="s">
        <v>11</v>
      </c>
      <c r="E26" s="13" t="s">
        <v>12</v>
      </c>
      <c r="F26" s="13" t="s">
        <v>18</v>
      </c>
      <c r="G26" s="13" t="s">
        <v>54</v>
      </c>
      <c r="H26" s="13" t="s">
        <v>20</v>
      </c>
      <c r="I26" s="13" t="s">
        <v>45</v>
      </c>
      <c r="J26" s="13">
        <v>4249</v>
      </c>
      <c r="K26" s="13">
        <v>842</v>
      </c>
      <c r="L26" s="18">
        <v>3577658</v>
      </c>
    </row>
    <row r="27" spans="2:12" x14ac:dyDescent="0.3">
      <c r="B27" s="17" t="s">
        <v>55</v>
      </c>
      <c r="C27" s="26" t="s">
        <v>419</v>
      </c>
      <c r="D27" s="13" t="s">
        <v>11</v>
      </c>
      <c r="E27" s="13" t="s">
        <v>12</v>
      </c>
      <c r="F27" s="13" t="s">
        <v>56</v>
      </c>
      <c r="G27" s="13" t="s">
        <v>57</v>
      </c>
      <c r="H27" s="13" t="s">
        <v>58</v>
      </c>
      <c r="I27" s="13" t="s">
        <v>45</v>
      </c>
      <c r="J27" s="13">
        <v>1902</v>
      </c>
      <c r="K27" s="13">
        <v>671</v>
      </c>
      <c r="L27" s="18">
        <v>1276242</v>
      </c>
    </row>
    <row r="28" spans="2:12" x14ac:dyDescent="0.3">
      <c r="B28" s="17" t="s">
        <v>59</v>
      </c>
      <c r="C28" s="26" t="s">
        <v>419</v>
      </c>
      <c r="D28" s="13" t="s">
        <v>30</v>
      </c>
      <c r="E28" s="13" t="s">
        <v>60</v>
      </c>
      <c r="F28" s="13" t="s">
        <v>18</v>
      </c>
      <c r="G28" s="13" t="s">
        <v>61</v>
      </c>
      <c r="H28" s="13" t="s">
        <v>20</v>
      </c>
      <c r="I28" s="13" t="s">
        <v>45</v>
      </c>
      <c r="J28" s="13">
        <v>6166</v>
      </c>
      <c r="K28" s="13">
        <v>894</v>
      </c>
      <c r="L28" s="18">
        <v>5512404</v>
      </c>
    </row>
    <row r="29" spans="2:12" x14ac:dyDescent="0.3">
      <c r="B29" s="17" t="s">
        <v>62</v>
      </c>
      <c r="C29" s="26" t="s">
        <v>419</v>
      </c>
      <c r="D29" s="13" t="s">
        <v>30</v>
      </c>
      <c r="E29" s="13" t="s">
        <v>60</v>
      </c>
      <c r="F29" s="13" t="s">
        <v>63</v>
      </c>
      <c r="G29" s="13" t="s">
        <v>64</v>
      </c>
      <c r="H29" s="13" t="s">
        <v>64</v>
      </c>
      <c r="I29" s="13" t="s">
        <v>45</v>
      </c>
      <c r="J29" s="13">
        <v>3669</v>
      </c>
      <c r="K29" s="13">
        <v>541</v>
      </c>
      <c r="L29" s="18">
        <v>1984929</v>
      </c>
    </row>
    <row r="30" spans="2:12" x14ac:dyDescent="0.3">
      <c r="B30" s="17" t="s">
        <v>65</v>
      </c>
      <c r="C30" s="26" t="s">
        <v>419</v>
      </c>
      <c r="D30" s="13" t="s">
        <v>30</v>
      </c>
      <c r="E30" s="13" t="s">
        <v>60</v>
      </c>
      <c r="F30" s="13" t="s">
        <v>56</v>
      </c>
      <c r="G30" s="13" t="s">
        <v>66</v>
      </c>
      <c r="H30" s="13" t="s">
        <v>58</v>
      </c>
      <c r="I30" s="13" t="s">
        <v>45</v>
      </c>
      <c r="J30" s="13">
        <v>4667</v>
      </c>
      <c r="K30" s="13">
        <v>646</v>
      </c>
      <c r="L30" s="18">
        <v>3014882</v>
      </c>
    </row>
    <row r="31" spans="2:12" x14ac:dyDescent="0.3">
      <c r="B31" s="17" t="s">
        <v>67</v>
      </c>
      <c r="C31" s="26" t="s">
        <v>419</v>
      </c>
      <c r="D31" s="13" t="s">
        <v>30</v>
      </c>
      <c r="E31" s="13" t="s">
        <v>60</v>
      </c>
      <c r="F31" s="13" t="s">
        <v>26</v>
      </c>
      <c r="G31" s="13" t="s">
        <v>68</v>
      </c>
      <c r="H31" s="13" t="s">
        <v>69</v>
      </c>
      <c r="I31" s="13" t="s">
        <v>45</v>
      </c>
      <c r="J31" s="13">
        <v>6722</v>
      </c>
      <c r="K31" s="13">
        <v>671</v>
      </c>
      <c r="L31" s="18">
        <v>4510462</v>
      </c>
    </row>
    <row r="32" spans="2:12" x14ac:dyDescent="0.3">
      <c r="B32" s="17" t="s">
        <v>114</v>
      </c>
      <c r="C32" s="26" t="s">
        <v>419</v>
      </c>
      <c r="D32" s="13" t="s">
        <v>11</v>
      </c>
      <c r="E32" s="13" t="s">
        <v>78</v>
      </c>
      <c r="F32" s="13" t="s">
        <v>22</v>
      </c>
      <c r="G32" s="13" t="s">
        <v>23</v>
      </c>
      <c r="H32" s="13" t="s">
        <v>24</v>
      </c>
      <c r="I32" s="13" t="s">
        <v>45</v>
      </c>
      <c r="J32" s="13">
        <v>7170</v>
      </c>
      <c r="K32" s="13">
        <v>521</v>
      </c>
      <c r="L32" s="18">
        <v>3735570</v>
      </c>
    </row>
    <row r="33" spans="2:12" x14ac:dyDescent="0.3">
      <c r="B33" s="17" t="s">
        <v>115</v>
      </c>
      <c r="C33" s="26" t="s">
        <v>419</v>
      </c>
      <c r="D33" s="13" t="s">
        <v>11</v>
      </c>
      <c r="E33" s="13" t="s">
        <v>116</v>
      </c>
      <c r="F33" s="13" t="s">
        <v>56</v>
      </c>
      <c r="G33" s="13" t="s">
        <v>117</v>
      </c>
      <c r="H33" s="13" t="s">
        <v>58</v>
      </c>
      <c r="I33" s="13" t="s">
        <v>45</v>
      </c>
      <c r="J33" s="13">
        <v>4724</v>
      </c>
      <c r="K33" s="13">
        <v>951</v>
      </c>
      <c r="L33" s="18">
        <v>4492524</v>
      </c>
    </row>
    <row r="34" spans="2:12" x14ac:dyDescent="0.3">
      <c r="B34" s="17" t="s">
        <v>118</v>
      </c>
      <c r="C34" s="26" t="s">
        <v>419</v>
      </c>
      <c r="D34" s="13" t="s">
        <v>11</v>
      </c>
      <c r="E34" s="13" t="s">
        <v>116</v>
      </c>
      <c r="F34" s="13" t="s">
        <v>22</v>
      </c>
      <c r="G34" s="13" t="s">
        <v>119</v>
      </c>
      <c r="H34" s="13" t="s">
        <v>90</v>
      </c>
      <c r="I34" s="13" t="s">
        <v>45</v>
      </c>
      <c r="J34" s="13">
        <v>5398</v>
      </c>
      <c r="K34" s="13">
        <v>832</v>
      </c>
      <c r="L34" s="18">
        <v>4491136</v>
      </c>
    </row>
    <row r="35" spans="2:12" x14ac:dyDescent="0.3">
      <c r="B35" s="17" t="s">
        <v>120</v>
      </c>
      <c r="C35" s="26" t="s">
        <v>419</v>
      </c>
      <c r="D35" s="13" t="s">
        <v>11</v>
      </c>
      <c r="E35" s="13" t="s">
        <v>116</v>
      </c>
      <c r="F35" s="13" t="s">
        <v>22</v>
      </c>
      <c r="G35" s="13" t="s">
        <v>121</v>
      </c>
      <c r="H35" s="13" t="s">
        <v>24</v>
      </c>
      <c r="I35" s="13" t="s">
        <v>45</v>
      </c>
      <c r="J35" s="13">
        <v>9466</v>
      </c>
      <c r="K35" s="13">
        <v>933</v>
      </c>
      <c r="L35" s="18">
        <v>8831778</v>
      </c>
    </row>
    <row r="36" spans="2:12" x14ac:dyDescent="0.3">
      <c r="B36" s="17" t="s">
        <v>122</v>
      </c>
      <c r="C36" s="26" t="s">
        <v>419</v>
      </c>
      <c r="D36" s="13" t="s">
        <v>11</v>
      </c>
      <c r="E36" s="13" t="s">
        <v>116</v>
      </c>
      <c r="F36" s="13" t="s">
        <v>26</v>
      </c>
      <c r="G36" s="13" t="s">
        <v>123</v>
      </c>
      <c r="H36" s="13" t="s">
        <v>33</v>
      </c>
      <c r="I36" s="13" t="s">
        <v>45</v>
      </c>
      <c r="J36" s="13">
        <v>4168</v>
      </c>
      <c r="K36" s="13">
        <v>769</v>
      </c>
      <c r="L36" s="18">
        <v>3205192</v>
      </c>
    </row>
    <row r="37" spans="2:12" x14ac:dyDescent="0.3">
      <c r="B37" s="17" t="s">
        <v>124</v>
      </c>
      <c r="C37" s="26" t="s">
        <v>419</v>
      </c>
      <c r="D37" s="13" t="s">
        <v>11</v>
      </c>
      <c r="E37" s="13" t="s">
        <v>116</v>
      </c>
      <c r="F37" s="13" t="s">
        <v>13</v>
      </c>
      <c r="G37" s="13" t="s">
        <v>14</v>
      </c>
      <c r="H37" s="13" t="s">
        <v>14</v>
      </c>
      <c r="I37" s="13" t="s">
        <v>45</v>
      </c>
      <c r="J37" s="13">
        <v>5773</v>
      </c>
      <c r="K37" s="13">
        <v>627</v>
      </c>
      <c r="L37" s="18">
        <v>3619671</v>
      </c>
    </row>
    <row r="38" spans="2:12" x14ac:dyDescent="0.3">
      <c r="B38" s="17" t="s">
        <v>125</v>
      </c>
      <c r="C38" s="26" t="s">
        <v>419</v>
      </c>
      <c r="D38" s="13" t="s">
        <v>11</v>
      </c>
      <c r="E38" s="13" t="s">
        <v>116</v>
      </c>
      <c r="F38" s="13" t="s">
        <v>18</v>
      </c>
      <c r="G38" s="13" t="s">
        <v>19</v>
      </c>
      <c r="H38" s="13" t="s">
        <v>20</v>
      </c>
      <c r="I38" s="13" t="s">
        <v>45</v>
      </c>
      <c r="J38" s="13">
        <v>8417</v>
      </c>
      <c r="K38" s="13">
        <v>918</v>
      </c>
      <c r="L38" s="18">
        <v>7726806</v>
      </c>
    </row>
    <row r="39" spans="2:12" x14ac:dyDescent="0.3">
      <c r="B39" s="17" t="s">
        <v>126</v>
      </c>
      <c r="C39" s="26" t="s">
        <v>419</v>
      </c>
      <c r="D39" s="13" t="s">
        <v>11</v>
      </c>
      <c r="E39" s="13" t="s">
        <v>116</v>
      </c>
      <c r="F39" s="13" t="s">
        <v>22</v>
      </c>
      <c r="G39" s="13" t="s">
        <v>23</v>
      </c>
      <c r="H39" s="13" t="s">
        <v>24</v>
      </c>
      <c r="I39" s="13" t="s">
        <v>45</v>
      </c>
      <c r="J39" s="13">
        <v>4691</v>
      </c>
      <c r="K39" s="13">
        <v>901</v>
      </c>
      <c r="L39" s="18">
        <v>4226591</v>
      </c>
    </row>
    <row r="40" spans="2:12" x14ac:dyDescent="0.3">
      <c r="B40" s="17" t="s">
        <v>127</v>
      </c>
      <c r="C40" s="26" t="s">
        <v>419</v>
      </c>
      <c r="D40" s="13" t="s">
        <v>11</v>
      </c>
      <c r="E40" s="13" t="s">
        <v>116</v>
      </c>
      <c r="F40" s="13" t="s">
        <v>26</v>
      </c>
      <c r="G40" s="13" t="s">
        <v>27</v>
      </c>
      <c r="H40" s="13" t="s">
        <v>28</v>
      </c>
      <c r="I40" s="13" t="s">
        <v>45</v>
      </c>
      <c r="J40" s="13">
        <v>5945</v>
      </c>
      <c r="K40" s="13">
        <v>887</v>
      </c>
      <c r="L40" s="18">
        <v>5273215</v>
      </c>
    </row>
    <row r="41" spans="2:12" x14ac:dyDescent="0.3">
      <c r="B41" s="17" t="s">
        <v>128</v>
      </c>
      <c r="C41" s="26" t="s">
        <v>419</v>
      </c>
      <c r="D41" s="13" t="s">
        <v>11</v>
      </c>
      <c r="E41" s="13" t="s">
        <v>116</v>
      </c>
      <c r="F41" s="13" t="s">
        <v>26</v>
      </c>
      <c r="G41" s="13" t="s">
        <v>32</v>
      </c>
      <c r="H41" s="13" t="s">
        <v>33</v>
      </c>
      <c r="I41" s="13" t="s">
        <v>45</v>
      </c>
      <c r="J41" s="13">
        <v>6807</v>
      </c>
      <c r="K41" s="13">
        <v>607</v>
      </c>
      <c r="L41" s="18">
        <v>4131849</v>
      </c>
    </row>
    <row r="42" spans="2:12" x14ac:dyDescent="0.3">
      <c r="B42" s="17" t="s">
        <v>129</v>
      </c>
      <c r="C42" s="26" t="s">
        <v>419</v>
      </c>
      <c r="D42" s="13" t="s">
        <v>11</v>
      </c>
      <c r="E42" s="13" t="s">
        <v>116</v>
      </c>
      <c r="F42" s="13" t="s">
        <v>26</v>
      </c>
      <c r="G42" s="13" t="s">
        <v>35</v>
      </c>
      <c r="H42" s="13" t="s">
        <v>36</v>
      </c>
      <c r="I42" s="13" t="s">
        <v>15</v>
      </c>
      <c r="J42" s="13">
        <v>3546</v>
      </c>
      <c r="K42" s="13">
        <v>562</v>
      </c>
      <c r="L42" s="18">
        <v>1992852</v>
      </c>
    </row>
    <row r="43" spans="2:12" x14ac:dyDescent="0.3">
      <c r="B43" s="17" t="s">
        <v>130</v>
      </c>
      <c r="C43" s="26" t="s">
        <v>419</v>
      </c>
      <c r="D43" s="13" t="s">
        <v>11</v>
      </c>
      <c r="E43" s="13" t="s">
        <v>116</v>
      </c>
      <c r="F43" s="13" t="s">
        <v>18</v>
      </c>
      <c r="G43" s="13" t="s">
        <v>38</v>
      </c>
      <c r="H43" s="13" t="s">
        <v>39</v>
      </c>
      <c r="I43" s="13" t="s">
        <v>15</v>
      </c>
      <c r="J43" s="13">
        <v>9463</v>
      </c>
      <c r="K43" s="13">
        <v>615</v>
      </c>
      <c r="L43" s="18">
        <v>5819745</v>
      </c>
    </row>
    <row r="44" spans="2:12" x14ac:dyDescent="0.3">
      <c r="B44" s="17" t="s">
        <v>131</v>
      </c>
      <c r="C44" s="26" t="s">
        <v>419</v>
      </c>
      <c r="D44" s="13" t="s">
        <v>11</v>
      </c>
      <c r="E44" s="13" t="s">
        <v>116</v>
      </c>
      <c r="F44" s="13" t="s">
        <v>18</v>
      </c>
      <c r="G44" s="13" t="s">
        <v>41</v>
      </c>
      <c r="H44" s="13" t="s">
        <v>20</v>
      </c>
      <c r="I44" s="13" t="s">
        <v>15</v>
      </c>
      <c r="J44" s="13">
        <v>9927</v>
      </c>
      <c r="K44" s="13">
        <v>631</v>
      </c>
      <c r="L44" s="18">
        <v>6263937</v>
      </c>
    </row>
    <row r="45" spans="2:12" x14ac:dyDescent="0.3">
      <c r="B45" s="17" t="s">
        <v>132</v>
      </c>
      <c r="C45" s="26" t="s">
        <v>419</v>
      </c>
      <c r="D45" s="13" t="s">
        <v>30</v>
      </c>
      <c r="E45" s="13" t="s">
        <v>133</v>
      </c>
      <c r="F45" s="13" t="s">
        <v>13</v>
      </c>
      <c r="G45" s="13" t="s">
        <v>43</v>
      </c>
      <c r="H45" s="13" t="s">
        <v>44</v>
      </c>
      <c r="I45" s="13" t="s">
        <v>15</v>
      </c>
      <c r="J45" s="13">
        <v>1666</v>
      </c>
      <c r="K45" s="13">
        <v>714</v>
      </c>
      <c r="L45" s="18">
        <v>1189524</v>
      </c>
    </row>
    <row r="46" spans="2:12" x14ac:dyDescent="0.3">
      <c r="B46" s="17" t="s">
        <v>134</v>
      </c>
      <c r="C46" s="26" t="s">
        <v>419</v>
      </c>
      <c r="D46" s="13" t="s">
        <v>30</v>
      </c>
      <c r="E46" s="13" t="s">
        <v>133</v>
      </c>
      <c r="F46" s="13" t="s">
        <v>18</v>
      </c>
      <c r="G46" s="13" t="s">
        <v>47</v>
      </c>
      <c r="H46" s="13" t="s">
        <v>39</v>
      </c>
      <c r="I46" s="13" t="s">
        <v>15</v>
      </c>
      <c r="J46" s="13">
        <v>9392</v>
      </c>
      <c r="K46" s="13">
        <v>631</v>
      </c>
      <c r="L46" s="18">
        <v>5926352</v>
      </c>
    </row>
    <row r="47" spans="2:12" x14ac:dyDescent="0.3">
      <c r="B47" s="17" t="s">
        <v>135</v>
      </c>
      <c r="C47" s="26" t="s">
        <v>419</v>
      </c>
      <c r="D47" s="13" t="s">
        <v>30</v>
      </c>
      <c r="E47" s="13" t="s">
        <v>133</v>
      </c>
      <c r="F47" s="13" t="s">
        <v>13</v>
      </c>
      <c r="G47" s="13" t="s">
        <v>49</v>
      </c>
      <c r="H47" s="13" t="s">
        <v>50</v>
      </c>
      <c r="I47" s="13" t="s">
        <v>45</v>
      </c>
      <c r="J47" s="13">
        <v>7124</v>
      </c>
      <c r="K47" s="13">
        <v>693</v>
      </c>
      <c r="L47" s="18">
        <v>4936932</v>
      </c>
    </row>
    <row r="48" spans="2:12" x14ac:dyDescent="0.3">
      <c r="B48" s="17" t="s">
        <v>136</v>
      </c>
      <c r="C48" s="26" t="s">
        <v>419</v>
      </c>
      <c r="D48" s="13" t="s">
        <v>30</v>
      </c>
      <c r="E48" s="13" t="s">
        <v>133</v>
      </c>
      <c r="F48" s="13" t="s">
        <v>13</v>
      </c>
      <c r="G48" s="13" t="s">
        <v>52</v>
      </c>
      <c r="H48" s="13" t="s">
        <v>50</v>
      </c>
      <c r="I48" s="13" t="s">
        <v>45</v>
      </c>
      <c r="J48" s="13">
        <v>9636</v>
      </c>
      <c r="K48" s="13">
        <v>873</v>
      </c>
      <c r="L48" s="18">
        <v>8412228</v>
      </c>
    </row>
    <row r="49" spans="2:12" x14ac:dyDescent="0.3">
      <c r="B49" s="17" t="s">
        <v>137</v>
      </c>
      <c r="C49" s="26" t="s">
        <v>419</v>
      </c>
      <c r="D49" s="13" t="s">
        <v>30</v>
      </c>
      <c r="E49" s="13" t="s">
        <v>133</v>
      </c>
      <c r="F49" s="13" t="s">
        <v>18</v>
      </c>
      <c r="G49" s="13" t="s">
        <v>54</v>
      </c>
      <c r="H49" s="13" t="s">
        <v>20</v>
      </c>
      <c r="I49" s="13" t="s">
        <v>45</v>
      </c>
      <c r="J49" s="13">
        <v>6596</v>
      </c>
      <c r="K49" s="13">
        <v>811</v>
      </c>
      <c r="L49" s="18">
        <v>5349356</v>
      </c>
    </row>
    <row r="50" spans="2:12" x14ac:dyDescent="0.3">
      <c r="B50" s="17" t="s">
        <v>138</v>
      </c>
      <c r="C50" s="26" t="s">
        <v>419</v>
      </c>
      <c r="D50" s="13" t="s">
        <v>30</v>
      </c>
      <c r="E50" s="13" t="s">
        <v>133</v>
      </c>
      <c r="F50" s="13" t="s">
        <v>56</v>
      </c>
      <c r="G50" s="13" t="s">
        <v>57</v>
      </c>
      <c r="H50" s="13" t="s">
        <v>58</v>
      </c>
      <c r="I50" s="13" t="s">
        <v>45</v>
      </c>
      <c r="J50" s="13">
        <v>6338</v>
      </c>
      <c r="K50" s="13">
        <v>540</v>
      </c>
      <c r="L50" s="18">
        <v>3422520</v>
      </c>
    </row>
    <row r="51" spans="2:12" x14ac:dyDescent="0.3">
      <c r="B51" s="17" t="s">
        <v>139</v>
      </c>
      <c r="C51" s="26" t="s">
        <v>419</v>
      </c>
      <c r="D51" s="13" t="s">
        <v>30</v>
      </c>
      <c r="E51" s="13" t="s">
        <v>133</v>
      </c>
      <c r="F51" s="13" t="s">
        <v>18</v>
      </c>
      <c r="G51" s="13" t="s">
        <v>61</v>
      </c>
      <c r="H51" s="13" t="s">
        <v>20</v>
      </c>
      <c r="I51" s="13" t="s">
        <v>45</v>
      </c>
      <c r="J51" s="13">
        <v>8446</v>
      </c>
      <c r="K51" s="13">
        <v>812</v>
      </c>
      <c r="L51" s="18">
        <v>6858152</v>
      </c>
    </row>
    <row r="52" spans="2:12" x14ac:dyDescent="0.3">
      <c r="B52" s="17" t="s">
        <v>140</v>
      </c>
      <c r="C52" s="26" t="s">
        <v>419</v>
      </c>
      <c r="D52" s="13" t="s">
        <v>30</v>
      </c>
      <c r="E52" s="13" t="s">
        <v>133</v>
      </c>
      <c r="F52" s="13" t="s">
        <v>63</v>
      </c>
      <c r="G52" s="13" t="s">
        <v>64</v>
      </c>
      <c r="H52" s="13" t="s">
        <v>64</v>
      </c>
      <c r="I52" s="13" t="s">
        <v>45</v>
      </c>
      <c r="J52" s="13">
        <v>9102</v>
      </c>
      <c r="K52" s="13">
        <v>894</v>
      </c>
      <c r="L52" s="18">
        <v>8137188</v>
      </c>
    </row>
    <row r="53" spans="2:12" x14ac:dyDescent="0.3">
      <c r="B53" s="17" t="s">
        <v>141</v>
      </c>
      <c r="C53" s="26" t="s">
        <v>419</v>
      </c>
      <c r="D53" s="13" t="s">
        <v>30</v>
      </c>
      <c r="E53" s="13" t="s">
        <v>133</v>
      </c>
      <c r="F53" s="13" t="s">
        <v>56</v>
      </c>
      <c r="G53" s="13" t="s">
        <v>66</v>
      </c>
      <c r="H53" s="13" t="s">
        <v>58</v>
      </c>
      <c r="I53" s="13" t="s">
        <v>45</v>
      </c>
      <c r="J53" s="13">
        <v>3887</v>
      </c>
      <c r="K53" s="13">
        <v>912</v>
      </c>
      <c r="L53" s="18">
        <v>3544944</v>
      </c>
    </row>
    <row r="54" spans="2:12" x14ac:dyDescent="0.3">
      <c r="B54" s="17" t="s">
        <v>142</v>
      </c>
      <c r="C54" s="26" t="s">
        <v>419</v>
      </c>
      <c r="D54" s="13" t="s">
        <v>30</v>
      </c>
      <c r="E54" s="13" t="s">
        <v>133</v>
      </c>
      <c r="F54" s="13" t="s">
        <v>26</v>
      </c>
      <c r="G54" s="13" t="s">
        <v>68</v>
      </c>
      <c r="H54" s="13" t="s">
        <v>69</v>
      </c>
      <c r="I54" s="13" t="s">
        <v>15</v>
      </c>
      <c r="J54" s="13">
        <v>9519</v>
      </c>
      <c r="K54" s="13">
        <v>970</v>
      </c>
      <c r="L54" s="18">
        <v>9233430</v>
      </c>
    </row>
    <row r="55" spans="2:12" x14ac:dyDescent="0.3">
      <c r="B55" s="17" t="s">
        <v>143</v>
      </c>
      <c r="C55" s="26" t="s">
        <v>419</v>
      </c>
      <c r="D55" s="13" t="s">
        <v>30</v>
      </c>
      <c r="E55" s="13" t="s">
        <v>133</v>
      </c>
      <c r="F55" s="13" t="s">
        <v>22</v>
      </c>
      <c r="G55" s="13" t="s">
        <v>71</v>
      </c>
      <c r="H55" s="13" t="s">
        <v>72</v>
      </c>
      <c r="I55" s="13" t="s">
        <v>15</v>
      </c>
      <c r="J55" s="13">
        <v>8983</v>
      </c>
      <c r="K55" s="13">
        <v>840</v>
      </c>
      <c r="L55" s="18">
        <v>7545720</v>
      </c>
    </row>
    <row r="56" spans="2:12" x14ac:dyDescent="0.3">
      <c r="B56" s="17" t="s">
        <v>144</v>
      </c>
      <c r="C56" s="26" t="s">
        <v>419</v>
      </c>
      <c r="D56" s="13" t="s">
        <v>30</v>
      </c>
      <c r="E56" s="13" t="s">
        <v>133</v>
      </c>
      <c r="F56" s="13" t="s">
        <v>18</v>
      </c>
      <c r="G56" s="13" t="s">
        <v>74</v>
      </c>
      <c r="H56" s="13" t="s">
        <v>39</v>
      </c>
      <c r="I56" s="13" t="s">
        <v>15</v>
      </c>
      <c r="J56" s="13">
        <v>6892</v>
      </c>
      <c r="K56" s="13">
        <v>643</v>
      </c>
      <c r="L56" s="18">
        <v>4431556</v>
      </c>
    </row>
    <row r="57" spans="2:12" x14ac:dyDescent="0.3">
      <c r="B57" s="17" t="s">
        <v>145</v>
      </c>
      <c r="C57" s="26" t="s">
        <v>419</v>
      </c>
      <c r="D57" s="13" t="s">
        <v>30</v>
      </c>
      <c r="E57" s="13" t="s">
        <v>146</v>
      </c>
      <c r="F57" s="13" t="s">
        <v>13</v>
      </c>
      <c r="G57" s="13" t="s">
        <v>76</v>
      </c>
      <c r="H57" s="13" t="s">
        <v>50</v>
      </c>
      <c r="I57" s="13" t="s">
        <v>15</v>
      </c>
      <c r="J57" s="13">
        <v>6946</v>
      </c>
      <c r="K57" s="13">
        <v>882</v>
      </c>
      <c r="L57" s="18">
        <v>6126372</v>
      </c>
    </row>
    <row r="58" spans="2:12" x14ac:dyDescent="0.3">
      <c r="B58" s="17" t="s">
        <v>147</v>
      </c>
      <c r="C58" s="26" t="s">
        <v>419</v>
      </c>
      <c r="D58" s="13" t="s">
        <v>30</v>
      </c>
      <c r="E58" s="13" t="s">
        <v>146</v>
      </c>
      <c r="F58" s="13" t="s">
        <v>13</v>
      </c>
      <c r="G58" s="13" t="s">
        <v>79</v>
      </c>
      <c r="H58" s="13" t="s">
        <v>50</v>
      </c>
      <c r="I58" s="13" t="s">
        <v>45</v>
      </c>
      <c r="J58" s="13">
        <v>8990</v>
      </c>
      <c r="K58" s="13">
        <v>666</v>
      </c>
      <c r="L58" s="18">
        <v>5987340</v>
      </c>
    </row>
    <row r="59" spans="2:12" x14ac:dyDescent="0.3">
      <c r="B59" s="17" t="s">
        <v>148</v>
      </c>
      <c r="C59" s="26" t="s">
        <v>419</v>
      </c>
      <c r="D59" s="13" t="s">
        <v>30</v>
      </c>
      <c r="E59" s="13" t="s">
        <v>146</v>
      </c>
      <c r="F59" s="13" t="s">
        <v>26</v>
      </c>
      <c r="G59" s="13" t="s">
        <v>81</v>
      </c>
      <c r="H59" s="13" t="s">
        <v>28</v>
      </c>
      <c r="I59" s="13" t="s">
        <v>15</v>
      </c>
      <c r="J59" s="13">
        <v>5594</v>
      </c>
      <c r="K59" s="13">
        <v>615</v>
      </c>
      <c r="L59" s="18">
        <v>3440310</v>
      </c>
    </row>
    <row r="60" spans="2:12" x14ac:dyDescent="0.3">
      <c r="B60" s="17" t="s">
        <v>75</v>
      </c>
      <c r="C60" s="26" t="s">
        <v>419</v>
      </c>
      <c r="D60" s="13" t="s">
        <v>30</v>
      </c>
      <c r="E60" s="13" t="s">
        <v>60</v>
      </c>
      <c r="F60" s="13" t="s">
        <v>13</v>
      </c>
      <c r="G60" s="13" t="s">
        <v>76</v>
      </c>
      <c r="H60" s="13" t="s">
        <v>50</v>
      </c>
      <c r="I60" s="13" t="s">
        <v>15</v>
      </c>
      <c r="J60" s="13">
        <v>9513</v>
      </c>
      <c r="K60" s="13">
        <v>632</v>
      </c>
      <c r="L60" s="18">
        <v>6012216</v>
      </c>
    </row>
    <row r="61" spans="2:12" x14ac:dyDescent="0.3">
      <c r="B61" s="17" t="s">
        <v>77</v>
      </c>
      <c r="C61" s="26" t="s">
        <v>419</v>
      </c>
      <c r="D61" s="13" t="s">
        <v>11</v>
      </c>
      <c r="E61" s="13" t="s">
        <v>78</v>
      </c>
      <c r="F61" s="13" t="s">
        <v>13</v>
      </c>
      <c r="G61" s="13" t="s">
        <v>79</v>
      </c>
      <c r="H61" s="13" t="s">
        <v>50</v>
      </c>
      <c r="I61" s="13" t="s">
        <v>15</v>
      </c>
      <c r="J61" s="13">
        <v>9633</v>
      </c>
      <c r="K61" s="13">
        <v>891</v>
      </c>
      <c r="L61" s="18">
        <v>8583003</v>
      </c>
    </row>
    <row r="62" spans="2:12" x14ac:dyDescent="0.3">
      <c r="B62" s="17" t="s">
        <v>80</v>
      </c>
      <c r="C62" s="26" t="s">
        <v>419</v>
      </c>
      <c r="D62" s="13" t="s">
        <v>11</v>
      </c>
      <c r="E62" s="13" t="s">
        <v>78</v>
      </c>
      <c r="F62" s="13" t="s">
        <v>26</v>
      </c>
      <c r="G62" s="13" t="s">
        <v>81</v>
      </c>
      <c r="H62" s="13" t="s">
        <v>28</v>
      </c>
      <c r="I62" s="13" t="s">
        <v>15</v>
      </c>
      <c r="J62" s="13">
        <v>4332</v>
      </c>
      <c r="K62" s="13">
        <v>858</v>
      </c>
      <c r="L62" s="18">
        <v>3716856</v>
      </c>
    </row>
    <row r="63" spans="2:12" x14ac:dyDescent="0.3">
      <c r="B63" s="17" t="s">
        <v>82</v>
      </c>
      <c r="C63" s="26" t="s">
        <v>419</v>
      </c>
      <c r="D63" s="13" t="s">
        <v>11</v>
      </c>
      <c r="E63" s="13" t="s">
        <v>78</v>
      </c>
      <c r="F63" s="13" t="s">
        <v>26</v>
      </c>
      <c r="G63" s="13" t="s">
        <v>83</v>
      </c>
      <c r="H63" s="13" t="s">
        <v>28</v>
      </c>
      <c r="I63" s="13" t="s">
        <v>15</v>
      </c>
      <c r="J63" s="13">
        <v>1995</v>
      </c>
      <c r="K63" s="13">
        <v>897</v>
      </c>
      <c r="L63" s="18">
        <v>1789515</v>
      </c>
    </row>
    <row r="64" spans="2:12" x14ac:dyDescent="0.3">
      <c r="B64" s="17" t="s">
        <v>84</v>
      </c>
      <c r="C64" s="26" t="s">
        <v>419</v>
      </c>
      <c r="D64" s="13" t="s">
        <v>11</v>
      </c>
      <c r="E64" s="13" t="s">
        <v>78</v>
      </c>
      <c r="F64" s="13" t="s">
        <v>13</v>
      </c>
      <c r="G64" s="13" t="s">
        <v>85</v>
      </c>
      <c r="H64" s="13" t="s">
        <v>44</v>
      </c>
      <c r="I64" s="13" t="s">
        <v>45</v>
      </c>
      <c r="J64" s="13">
        <v>3691</v>
      </c>
      <c r="K64" s="13">
        <v>940</v>
      </c>
      <c r="L64" s="18">
        <v>3469540</v>
      </c>
    </row>
    <row r="65" spans="2:12" x14ac:dyDescent="0.3">
      <c r="B65" s="17" t="s">
        <v>86</v>
      </c>
      <c r="C65" s="26" t="s">
        <v>419</v>
      </c>
      <c r="D65" s="13" t="s">
        <v>11</v>
      </c>
      <c r="E65" s="13" t="s">
        <v>78</v>
      </c>
      <c r="F65" s="13" t="s">
        <v>13</v>
      </c>
      <c r="G65" s="13" t="s">
        <v>87</v>
      </c>
      <c r="H65" s="13" t="s">
        <v>50</v>
      </c>
      <c r="I65" s="13" t="s">
        <v>45</v>
      </c>
      <c r="J65" s="13">
        <v>2570</v>
      </c>
      <c r="K65" s="13">
        <v>704</v>
      </c>
      <c r="L65" s="18">
        <v>1809280</v>
      </c>
    </row>
    <row r="66" spans="2:12" x14ac:dyDescent="0.3">
      <c r="B66" s="17" t="s">
        <v>88</v>
      </c>
      <c r="C66" s="26" t="s">
        <v>419</v>
      </c>
      <c r="D66" s="13" t="s">
        <v>11</v>
      </c>
      <c r="E66" s="13" t="s">
        <v>78</v>
      </c>
      <c r="F66" s="13" t="s">
        <v>22</v>
      </c>
      <c r="G66" s="13" t="s">
        <v>89</v>
      </c>
      <c r="H66" s="13" t="s">
        <v>90</v>
      </c>
      <c r="I66" s="13" t="s">
        <v>45</v>
      </c>
      <c r="J66" s="13">
        <v>2952</v>
      </c>
      <c r="K66" s="13">
        <v>972</v>
      </c>
      <c r="L66" s="18">
        <v>2869344</v>
      </c>
    </row>
    <row r="67" spans="2:12" x14ac:dyDescent="0.3">
      <c r="B67" s="17" t="s">
        <v>91</v>
      </c>
      <c r="C67" s="26" t="s">
        <v>419</v>
      </c>
      <c r="D67" s="13" t="s">
        <v>11</v>
      </c>
      <c r="E67" s="13" t="s">
        <v>78</v>
      </c>
      <c r="F67" s="13" t="s">
        <v>26</v>
      </c>
      <c r="G67" s="13" t="s">
        <v>92</v>
      </c>
      <c r="H67" s="13" t="s">
        <v>93</v>
      </c>
      <c r="I67" s="13" t="s">
        <v>45</v>
      </c>
      <c r="J67" s="13">
        <v>1992</v>
      </c>
      <c r="K67" s="13">
        <v>538</v>
      </c>
      <c r="L67" s="18">
        <v>1071696</v>
      </c>
    </row>
    <row r="68" spans="2:12" x14ac:dyDescent="0.3">
      <c r="B68" s="17" t="s">
        <v>94</v>
      </c>
      <c r="C68" s="26" t="s">
        <v>419</v>
      </c>
      <c r="D68" s="13" t="s">
        <v>11</v>
      </c>
      <c r="E68" s="13" t="s">
        <v>78</v>
      </c>
      <c r="F68" s="13" t="s">
        <v>18</v>
      </c>
      <c r="G68" s="13" t="s">
        <v>95</v>
      </c>
      <c r="H68" s="13" t="s">
        <v>20</v>
      </c>
      <c r="I68" s="13" t="s">
        <v>45</v>
      </c>
      <c r="J68" s="13">
        <v>2907</v>
      </c>
      <c r="K68" s="13">
        <v>750</v>
      </c>
      <c r="L68" s="18">
        <v>2180250</v>
      </c>
    </row>
    <row r="69" spans="2:12" x14ac:dyDescent="0.3">
      <c r="B69" s="17" t="s">
        <v>96</v>
      </c>
      <c r="C69" s="26" t="s">
        <v>419</v>
      </c>
      <c r="D69" s="13" t="s">
        <v>11</v>
      </c>
      <c r="E69" s="13" t="s">
        <v>78</v>
      </c>
      <c r="F69" s="13" t="s">
        <v>13</v>
      </c>
      <c r="G69" s="13" t="s">
        <v>97</v>
      </c>
      <c r="H69" s="13" t="s">
        <v>98</v>
      </c>
      <c r="I69" s="13" t="s">
        <v>45</v>
      </c>
      <c r="J69" s="13">
        <v>2936</v>
      </c>
      <c r="K69" s="13">
        <v>558</v>
      </c>
      <c r="L69" s="18">
        <v>1638288</v>
      </c>
    </row>
    <row r="70" spans="2:12" x14ac:dyDescent="0.3">
      <c r="B70" s="17" t="s">
        <v>99</v>
      </c>
      <c r="C70" s="26" t="s">
        <v>419</v>
      </c>
      <c r="D70" s="13" t="s">
        <v>11</v>
      </c>
      <c r="E70" s="13" t="s">
        <v>78</v>
      </c>
      <c r="F70" s="13" t="s">
        <v>13</v>
      </c>
      <c r="G70" s="13" t="s">
        <v>100</v>
      </c>
      <c r="H70" s="13" t="s">
        <v>101</v>
      </c>
      <c r="I70" s="13" t="s">
        <v>45</v>
      </c>
      <c r="J70" s="13">
        <v>1784</v>
      </c>
      <c r="K70" s="13">
        <v>799</v>
      </c>
      <c r="L70" s="18">
        <v>1425416</v>
      </c>
    </row>
    <row r="71" spans="2:12" x14ac:dyDescent="0.3">
      <c r="B71" s="17" t="s">
        <v>102</v>
      </c>
      <c r="C71" s="26" t="s">
        <v>419</v>
      </c>
      <c r="D71" s="13" t="s">
        <v>11</v>
      </c>
      <c r="E71" s="13" t="s">
        <v>78</v>
      </c>
      <c r="F71" s="13" t="s">
        <v>103</v>
      </c>
      <c r="G71" s="13" t="s">
        <v>104</v>
      </c>
      <c r="H71" s="13" t="s">
        <v>105</v>
      </c>
      <c r="I71" s="13" t="s">
        <v>15</v>
      </c>
      <c r="J71" s="13">
        <v>3010</v>
      </c>
      <c r="K71" s="13">
        <v>603</v>
      </c>
      <c r="L71" s="18">
        <v>1815030</v>
      </c>
    </row>
    <row r="72" spans="2:12" x14ac:dyDescent="0.3">
      <c r="B72" s="17" t="s">
        <v>106</v>
      </c>
      <c r="C72" s="26" t="s">
        <v>419</v>
      </c>
      <c r="D72" s="13" t="s">
        <v>11</v>
      </c>
      <c r="E72" s="13" t="s">
        <v>78</v>
      </c>
      <c r="F72" s="13" t="s">
        <v>13</v>
      </c>
      <c r="G72" s="13" t="s">
        <v>107</v>
      </c>
      <c r="H72" s="13" t="s">
        <v>108</v>
      </c>
      <c r="I72" s="13" t="s">
        <v>15</v>
      </c>
      <c r="J72" s="13">
        <v>9118</v>
      </c>
      <c r="K72" s="13">
        <v>694</v>
      </c>
      <c r="L72" s="18">
        <v>6327892</v>
      </c>
    </row>
    <row r="73" spans="2:12" x14ac:dyDescent="0.3">
      <c r="B73" s="17" t="s">
        <v>109</v>
      </c>
      <c r="C73" s="26" t="s">
        <v>419</v>
      </c>
      <c r="D73" s="13" t="s">
        <v>11</v>
      </c>
      <c r="E73" s="13" t="s">
        <v>78</v>
      </c>
      <c r="F73" s="13" t="s">
        <v>56</v>
      </c>
      <c r="G73" s="13" t="s">
        <v>110</v>
      </c>
      <c r="H73" s="13" t="s">
        <v>111</v>
      </c>
      <c r="I73" s="13" t="s">
        <v>15</v>
      </c>
      <c r="J73" s="13">
        <v>7291</v>
      </c>
      <c r="K73" s="13">
        <v>837</v>
      </c>
      <c r="L73" s="18">
        <v>6102567</v>
      </c>
    </row>
    <row r="74" spans="2:12" x14ac:dyDescent="0.3">
      <c r="B74" s="17" t="s">
        <v>112</v>
      </c>
      <c r="C74" s="26" t="s">
        <v>419</v>
      </c>
      <c r="D74" s="13" t="s">
        <v>11</v>
      </c>
      <c r="E74" s="13" t="s">
        <v>78</v>
      </c>
      <c r="F74" s="13" t="s">
        <v>22</v>
      </c>
      <c r="G74" s="13" t="s">
        <v>113</v>
      </c>
      <c r="H74" s="13" t="s">
        <v>24</v>
      </c>
      <c r="I74" s="13" t="s">
        <v>15</v>
      </c>
      <c r="J74" s="13">
        <v>3141</v>
      </c>
      <c r="K74" s="13">
        <v>834</v>
      </c>
      <c r="L74" s="18">
        <v>2619594</v>
      </c>
    </row>
    <row r="75" spans="2:12" x14ac:dyDescent="0.3">
      <c r="B75" s="17" t="s">
        <v>114</v>
      </c>
      <c r="C75" s="26" t="s">
        <v>419</v>
      </c>
      <c r="D75" s="13" t="s">
        <v>11</v>
      </c>
      <c r="E75" s="13" t="s">
        <v>78</v>
      </c>
      <c r="F75" s="13" t="s">
        <v>22</v>
      </c>
      <c r="G75" s="13" t="s">
        <v>23</v>
      </c>
      <c r="H75" s="13" t="s">
        <v>24</v>
      </c>
      <c r="I75" s="13" t="s">
        <v>45</v>
      </c>
      <c r="J75" s="13">
        <v>7170</v>
      </c>
      <c r="K75" s="13">
        <v>521</v>
      </c>
      <c r="L75" s="18">
        <v>3735570</v>
      </c>
    </row>
    <row r="76" spans="2:12" x14ac:dyDescent="0.3">
      <c r="B76" s="17" t="s">
        <v>115</v>
      </c>
      <c r="C76" s="26" t="s">
        <v>419</v>
      </c>
      <c r="D76" s="13" t="s">
        <v>11</v>
      </c>
      <c r="E76" s="13" t="s">
        <v>116</v>
      </c>
      <c r="F76" s="13" t="s">
        <v>56</v>
      </c>
      <c r="G76" s="13" t="s">
        <v>117</v>
      </c>
      <c r="H76" s="13" t="s">
        <v>58</v>
      </c>
      <c r="I76" s="13" t="s">
        <v>45</v>
      </c>
      <c r="J76" s="13">
        <v>4724</v>
      </c>
      <c r="K76" s="13">
        <v>951</v>
      </c>
      <c r="L76" s="18">
        <v>4492524</v>
      </c>
    </row>
    <row r="77" spans="2:12" x14ac:dyDescent="0.3">
      <c r="B77" s="17" t="s">
        <v>118</v>
      </c>
      <c r="C77" s="26" t="s">
        <v>419</v>
      </c>
      <c r="D77" s="13" t="s">
        <v>11</v>
      </c>
      <c r="E77" s="13" t="s">
        <v>116</v>
      </c>
      <c r="F77" s="13" t="s">
        <v>22</v>
      </c>
      <c r="G77" s="13" t="s">
        <v>119</v>
      </c>
      <c r="H77" s="13" t="s">
        <v>90</v>
      </c>
      <c r="I77" s="13" t="s">
        <v>45</v>
      </c>
      <c r="J77" s="13">
        <v>5398</v>
      </c>
      <c r="K77" s="13">
        <v>832</v>
      </c>
      <c r="L77" s="18">
        <v>4491136</v>
      </c>
    </row>
    <row r="78" spans="2:12" x14ac:dyDescent="0.3">
      <c r="B78" s="17" t="s">
        <v>120</v>
      </c>
      <c r="C78" s="26" t="s">
        <v>419</v>
      </c>
      <c r="D78" s="13" t="s">
        <v>11</v>
      </c>
      <c r="E78" s="13" t="s">
        <v>116</v>
      </c>
      <c r="F78" s="13" t="s">
        <v>22</v>
      </c>
      <c r="G78" s="13" t="s">
        <v>121</v>
      </c>
      <c r="H78" s="13" t="s">
        <v>24</v>
      </c>
      <c r="I78" s="13" t="s">
        <v>45</v>
      </c>
      <c r="J78" s="13">
        <v>9466</v>
      </c>
      <c r="K78" s="13">
        <v>933</v>
      </c>
      <c r="L78" s="18">
        <v>8831778</v>
      </c>
    </row>
    <row r="79" spans="2:12" x14ac:dyDescent="0.3">
      <c r="B79" s="17" t="s">
        <v>122</v>
      </c>
      <c r="C79" s="26" t="s">
        <v>419</v>
      </c>
      <c r="D79" s="13" t="s">
        <v>11</v>
      </c>
      <c r="E79" s="13" t="s">
        <v>116</v>
      </c>
      <c r="F79" s="13" t="s">
        <v>26</v>
      </c>
      <c r="G79" s="13" t="s">
        <v>123</v>
      </c>
      <c r="H79" s="13" t="s">
        <v>33</v>
      </c>
      <c r="I79" s="13" t="s">
        <v>45</v>
      </c>
      <c r="J79" s="13">
        <v>4168</v>
      </c>
      <c r="K79" s="13">
        <v>769</v>
      </c>
      <c r="L79" s="18">
        <v>3205192</v>
      </c>
    </row>
    <row r="80" spans="2:12" x14ac:dyDescent="0.3">
      <c r="B80" s="17" t="s">
        <v>124</v>
      </c>
      <c r="C80" s="26" t="s">
        <v>419</v>
      </c>
      <c r="D80" s="13" t="s">
        <v>11</v>
      </c>
      <c r="E80" s="13" t="s">
        <v>116</v>
      </c>
      <c r="F80" s="13" t="s">
        <v>13</v>
      </c>
      <c r="G80" s="13" t="s">
        <v>14</v>
      </c>
      <c r="H80" s="13" t="s">
        <v>14</v>
      </c>
      <c r="I80" s="13" t="s">
        <v>45</v>
      </c>
      <c r="J80" s="13">
        <v>5773</v>
      </c>
      <c r="K80" s="13">
        <v>627</v>
      </c>
      <c r="L80" s="18">
        <v>3619671</v>
      </c>
    </row>
    <row r="81" spans="2:12" x14ac:dyDescent="0.3">
      <c r="B81" s="17" t="s">
        <v>125</v>
      </c>
      <c r="C81" s="26" t="s">
        <v>419</v>
      </c>
      <c r="D81" s="13" t="s">
        <v>11</v>
      </c>
      <c r="E81" s="13" t="s">
        <v>116</v>
      </c>
      <c r="F81" s="13" t="s">
        <v>18</v>
      </c>
      <c r="G81" s="13" t="s">
        <v>19</v>
      </c>
      <c r="H81" s="13" t="s">
        <v>20</v>
      </c>
      <c r="I81" s="13" t="s">
        <v>45</v>
      </c>
      <c r="J81" s="13">
        <v>8417</v>
      </c>
      <c r="K81" s="13">
        <v>918</v>
      </c>
      <c r="L81" s="18">
        <v>7726806</v>
      </c>
    </row>
    <row r="82" spans="2:12" x14ac:dyDescent="0.3">
      <c r="B82" s="17" t="s">
        <v>126</v>
      </c>
      <c r="C82" s="26" t="s">
        <v>419</v>
      </c>
      <c r="D82" s="13" t="s">
        <v>11</v>
      </c>
      <c r="E82" s="13" t="s">
        <v>116</v>
      </c>
      <c r="F82" s="13" t="s">
        <v>22</v>
      </c>
      <c r="G82" s="13" t="s">
        <v>23</v>
      </c>
      <c r="H82" s="13" t="s">
        <v>24</v>
      </c>
      <c r="I82" s="13" t="s">
        <v>45</v>
      </c>
      <c r="J82" s="13">
        <v>4691</v>
      </c>
      <c r="K82" s="13">
        <v>901</v>
      </c>
      <c r="L82" s="18">
        <v>4226591</v>
      </c>
    </row>
    <row r="83" spans="2:12" x14ac:dyDescent="0.3">
      <c r="B83" s="17" t="s">
        <v>127</v>
      </c>
      <c r="C83" s="26" t="s">
        <v>419</v>
      </c>
      <c r="D83" s="13" t="s">
        <v>11</v>
      </c>
      <c r="E83" s="13" t="s">
        <v>116</v>
      </c>
      <c r="F83" s="13" t="s">
        <v>26</v>
      </c>
      <c r="G83" s="13" t="s">
        <v>27</v>
      </c>
      <c r="H83" s="13" t="s">
        <v>28</v>
      </c>
      <c r="I83" s="13" t="s">
        <v>45</v>
      </c>
      <c r="J83" s="13">
        <v>5945</v>
      </c>
      <c r="K83" s="13">
        <v>887</v>
      </c>
      <c r="L83" s="18">
        <v>5273215</v>
      </c>
    </row>
    <row r="84" spans="2:12" x14ac:dyDescent="0.3">
      <c r="B84" s="17" t="s">
        <v>128</v>
      </c>
      <c r="C84" s="26" t="s">
        <v>419</v>
      </c>
      <c r="D84" s="13" t="s">
        <v>11</v>
      </c>
      <c r="E84" s="13" t="s">
        <v>116</v>
      </c>
      <c r="F84" s="13" t="s">
        <v>26</v>
      </c>
      <c r="G84" s="13" t="s">
        <v>32</v>
      </c>
      <c r="H84" s="13" t="s">
        <v>33</v>
      </c>
      <c r="I84" s="13" t="s">
        <v>45</v>
      </c>
      <c r="J84" s="13">
        <v>6807</v>
      </c>
      <c r="K84" s="13">
        <v>607</v>
      </c>
      <c r="L84" s="18">
        <v>4131849</v>
      </c>
    </row>
    <row r="85" spans="2:12" x14ac:dyDescent="0.3">
      <c r="B85" s="17" t="s">
        <v>129</v>
      </c>
      <c r="C85" s="26" t="s">
        <v>419</v>
      </c>
      <c r="D85" s="13" t="s">
        <v>11</v>
      </c>
      <c r="E85" s="13" t="s">
        <v>116</v>
      </c>
      <c r="F85" s="13" t="s">
        <v>26</v>
      </c>
      <c r="G85" s="13" t="s">
        <v>35</v>
      </c>
      <c r="H85" s="13" t="s">
        <v>36</v>
      </c>
      <c r="I85" s="13" t="s">
        <v>15</v>
      </c>
      <c r="J85" s="13">
        <v>3546</v>
      </c>
      <c r="K85" s="13">
        <v>562</v>
      </c>
      <c r="L85" s="18">
        <v>1992852</v>
      </c>
    </row>
    <row r="86" spans="2:12" x14ac:dyDescent="0.3">
      <c r="B86" s="17" t="s">
        <v>130</v>
      </c>
      <c r="C86" s="26" t="s">
        <v>419</v>
      </c>
      <c r="D86" s="13" t="s">
        <v>11</v>
      </c>
      <c r="E86" s="13" t="s">
        <v>116</v>
      </c>
      <c r="F86" s="13" t="s">
        <v>18</v>
      </c>
      <c r="G86" s="13" t="s">
        <v>38</v>
      </c>
      <c r="H86" s="13" t="s">
        <v>39</v>
      </c>
      <c r="I86" s="13" t="s">
        <v>15</v>
      </c>
      <c r="J86" s="13">
        <v>9463</v>
      </c>
      <c r="K86" s="13">
        <v>615</v>
      </c>
      <c r="L86" s="18">
        <v>5819745</v>
      </c>
    </row>
    <row r="87" spans="2:12" x14ac:dyDescent="0.3">
      <c r="B87" s="17" t="s">
        <v>131</v>
      </c>
      <c r="C87" s="26" t="s">
        <v>419</v>
      </c>
      <c r="D87" s="13" t="s">
        <v>11</v>
      </c>
      <c r="E87" s="13" t="s">
        <v>116</v>
      </c>
      <c r="F87" s="13" t="s">
        <v>18</v>
      </c>
      <c r="G87" s="13" t="s">
        <v>41</v>
      </c>
      <c r="H87" s="13" t="s">
        <v>20</v>
      </c>
      <c r="I87" s="13" t="s">
        <v>15</v>
      </c>
      <c r="J87" s="13">
        <v>9927</v>
      </c>
      <c r="K87" s="13">
        <v>631</v>
      </c>
      <c r="L87" s="18">
        <v>6263937</v>
      </c>
    </row>
    <row r="88" spans="2:12" x14ac:dyDescent="0.3">
      <c r="B88" s="17" t="s">
        <v>132</v>
      </c>
      <c r="C88" s="26" t="s">
        <v>419</v>
      </c>
      <c r="D88" s="13" t="s">
        <v>30</v>
      </c>
      <c r="E88" s="13" t="s">
        <v>133</v>
      </c>
      <c r="F88" s="13" t="s">
        <v>13</v>
      </c>
      <c r="G88" s="13" t="s">
        <v>43</v>
      </c>
      <c r="H88" s="13" t="s">
        <v>44</v>
      </c>
      <c r="I88" s="13" t="s">
        <v>15</v>
      </c>
      <c r="J88" s="13">
        <v>1666</v>
      </c>
      <c r="K88" s="13">
        <v>714</v>
      </c>
      <c r="L88" s="18">
        <v>1189524</v>
      </c>
    </row>
    <row r="89" spans="2:12" x14ac:dyDescent="0.3">
      <c r="B89" s="17" t="s">
        <v>134</v>
      </c>
      <c r="C89" s="26" t="s">
        <v>419</v>
      </c>
      <c r="D89" s="13" t="s">
        <v>30</v>
      </c>
      <c r="E89" s="13" t="s">
        <v>133</v>
      </c>
      <c r="F89" s="13" t="s">
        <v>18</v>
      </c>
      <c r="G89" s="13" t="s">
        <v>47</v>
      </c>
      <c r="H89" s="13" t="s">
        <v>39</v>
      </c>
      <c r="I89" s="13" t="s">
        <v>15</v>
      </c>
      <c r="J89" s="13">
        <v>9392</v>
      </c>
      <c r="K89" s="13">
        <v>631</v>
      </c>
      <c r="L89" s="18">
        <v>5926352</v>
      </c>
    </row>
    <row r="90" spans="2:12" x14ac:dyDescent="0.3">
      <c r="B90" s="17" t="s">
        <v>135</v>
      </c>
      <c r="C90" s="26" t="s">
        <v>419</v>
      </c>
      <c r="D90" s="13" t="s">
        <v>30</v>
      </c>
      <c r="E90" s="13" t="s">
        <v>133</v>
      </c>
      <c r="F90" s="13" t="s">
        <v>13</v>
      </c>
      <c r="G90" s="13" t="s">
        <v>49</v>
      </c>
      <c r="H90" s="13" t="s">
        <v>50</v>
      </c>
      <c r="I90" s="13" t="s">
        <v>45</v>
      </c>
      <c r="J90" s="13">
        <v>7124</v>
      </c>
      <c r="K90" s="13">
        <v>693</v>
      </c>
      <c r="L90" s="18">
        <v>4936932</v>
      </c>
    </row>
    <row r="91" spans="2:12" x14ac:dyDescent="0.3">
      <c r="B91" s="17" t="s">
        <v>136</v>
      </c>
      <c r="C91" s="26" t="s">
        <v>419</v>
      </c>
      <c r="D91" s="13" t="s">
        <v>30</v>
      </c>
      <c r="E91" s="13" t="s">
        <v>133</v>
      </c>
      <c r="F91" s="13" t="s">
        <v>13</v>
      </c>
      <c r="G91" s="13" t="s">
        <v>52</v>
      </c>
      <c r="H91" s="13" t="s">
        <v>50</v>
      </c>
      <c r="I91" s="13" t="s">
        <v>45</v>
      </c>
      <c r="J91" s="13">
        <v>9636</v>
      </c>
      <c r="K91" s="13">
        <v>873</v>
      </c>
      <c r="L91" s="18">
        <v>8412228</v>
      </c>
    </row>
    <row r="92" spans="2:12" x14ac:dyDescent="0.3">
      <c r="B92" s="17" t="s">
        <v>137</v>
      </c>
      <c r="C92" s="26" t="s">
        <v>419</v>
      </c>
      <c r="D92" s="13" t="s">
        <v>30</v>
      </c>
      <c r="E92" s="13" t="s">
        <v>133</v>
      </c>
      <c r="F92" s="13" t="s">
        <v>18</v>
      </c>
      <c r="G92" s="13" t="s">
        <v>54</v>
      </c>
      <c r="H92" s="13" t="s">
        <v>20</v>
      </c>
      <c r="I92" s="13" t="s">
        <v>45</v>
      </c>
      <c r="J92" s="13">
        <v>6596</v>
      </c>
      <c r="K92" s="13">
        <v>811</v>
      </c>
      <c r="L92" s="18">
        <v>5349356</v>
      </c>
    </row>
    <row r="93" spans="2:12" x14ac:dyDescent="0.3">
      <c r="B93" s="17" t="s">
        <v>138</v>
      </c>
      <c r="C93" s="26" t="s">
        <v>419</v>
      </c>
      <c r="D93" s="13" t="s">
        <v>30</v>
      </c>
      <c r="E93" s="13" t="s">
        <v>133</v>
      </c>
      <c r="F93" s="13" t="s">
        <v>56</v>
      </c>
      <c r="G93" s="13" t="s">
        <v>57</v>
      </c>
      <c r="H93" s="13" t="s">
        <v>58</v>
      </c>
      <c r="I93" s="13" t="s">
        <v>45</v>
      </c>
      <c r="J93" s="13">
        <v>6338</v>
      </c>
      <c r="K93" s="13">
        <v>540</v>
      </c>
      <c r="L93" s="18">
        <v>3422520</v>
      </c>
    </row>
    <row r="94" spans="2:12" x14ac:dyDescent="0.3">
      <c r="B94" s="17" t="s">
        <v>139</v>
      </c>
      <c r="C94" s="26" t="s">
        <v>419</v>
      </c>
      <c r="D94" s="13" t="s">
        <v>30</v>
      </c>
      <c r="E94" s="13" t="s">
        <v>133</v>
      </c>
      <c r="F94" s="13" t="s">
        <v>18</v>
      </c>
      <c r="G94" s="13" t="s">
        <v>61</v>
      </c>
      <c r="H94" s="13" t="s">
        <v>20</v>
      </c>
      <c r="I94" s="13" t="s">
        <v>45</v>
      </c>
      <c r="J94" s="13">
        <v>8446</v>
      </c>
      <c r="K94" s="13">
        <v>812</v>
      </c>
      <c r="L94" s="18">
        <v>6858152</v>
      </c>
    </row>
    <row r="95" spans="2:12" x14ac:dyDescent="0.3">
      <c r="B95" s="17" t="s">
        <v>140</v>
      </c>
      <c r="C95" s="26" t="s">
        <v>419</v>
      </c>
      <c r="D95" s="13" t="s">
        <v>30</v>
      </c>
      <c r="E95" s="13" t="s">
        <v>133</v>
      </c>
      <c r="F95" s="13" t="s">
        <v>63</v>
      </c>
      <c r="G95" s="13" t="s">
        <v>64</v>
      </c>
      <c r="H95" s="13" t="s">
        <v>64</v>
      </c>
      <c r="I95" s="13" t="s">
        <v>45</v>
      </c>
      <c r="J95" s="13">
        <v>9102</v>
      </c>
      <c r="K95" s="13">
        <v>894</v>
      </c>
      <c r="L95" s="18">
        <v>8137188</v>
      </c>
    </row>
    <row r="96" spans="2:12" x14ac:dyDescent="0.3">
      <c r="B96" s="17" t="s">
        <v>141</v>
      </c>
      <c r="C96" s="26" t="s">
        <v>419</v>
      </c>
      <c r="D96" s="13" t="s">
        <v>30</v>
      </c>
      <c r="E96" s="13" t="s">
        <v>133</v>
      </c>
      <c r="F96" s="13" t="s">
        <v>56</v>
      </c>
      <c r="G96" s="13" t="s">
        <v>66</v>
      </c>
      <c r="H96" s="13" t="s">
        <v>58</v>
      </c>
      <c r="I96" s="13" t="s">
        <v>45</v>
      </c>
      <c r="J96" s="13">
        <v>3887</v>
      </c>
      <c r="K96" s="13">
        <v>912</v>
      </c>
      <c r="L96" s="18">
        <v>3544944</v>
      </c>
    </row>
    <row r="97" spans="2:12" x14ac:dyDescent="0.3">
      <c r="B97" s="17" t="s">
        <v>142</v>
      </c>
      <c r="C97" s="26" t="s">
        <v>419</v>
      </c>
      <c r="D97" s="13" t="s">
        <v>30</v>
      </c>
      <c r="E97" s="13" t="s">
        <v>133</v>
      </c>
      <c r="F97" s="13" t="s">
        <v>26</v>
      </c>
      <c r="G97" s="13" t="s">
        <v>68</v>
      </c>
      <c r="H97" s="13" t="s">
        <v>69</v>
      </c>
      <c r="I97" s="13" t="s">
        <v>15</v>
      </c>
      <c r="J97" s="13">
        <v>9519</v>
      </c>
      <c r="K97" s="13">
        <v>970</v>
      </c>
      <c r="L97" s="18">
        <v>9233430</v>
      </c>
    </row>
    <row r="98" spans="2:12" x14ac:dyDescent="0.3">
      <c r="B98" s="17" t="s">
        <v>143</v>
      </c>
      <c r="C98" s="26" t="s">
        <v>419</v>
      </c>
      <c r="D98" s="13" t="s">
        <v>30</v>
      </c>
      <c r="E98" s="13" t="s">
        <v>133</v>
      </c>
      <c r="F98" s="13" t="s">
        <v>22</v>
      </c>
      <c r="G98" s="13" t="s">
        <v>71</v>
      </c>
      <c r="H98" s="13" t="s">
        <v>72</v>
      </c>
      <c r="I98" s="13" t="s">
        <v>15</v>
      </c>
      <c r="J98" s="13">
        <v>8983</v>
      </c>
      <c r="K98" s="13">
        <v>840</v>
      </c>
      <c r="L98" s="18">
        <v>7545720</v>
      </c>
    </row>
    <row r="99" spans="2:12" x14ac:dyDescent="0.3">
      <c r="B99" s="17" t="s">
        <v>144</v>
      </c>
      <c r="C99" s="26" t="s">
        <v>419</v>
      </c>
      <c r="D99" s="13" t="s">
        <v>30</v>
      </c>
      <c r="E99" s="13" t="s">
        <v>133</v>
      </c>
      <c r="F99" s="13" t="s">
        <v>18</v>
      </c>
      <c r="G99" s="13" t="s">
        <v>74</v>
      </c>
      <c r="H99" s="13" t="s">
        <v>39</v>
      </c>
      <c r="I99" s="13" t="s">
        <v>15</v>
      </c>
      <c r="J99" s="13">
        <v>6892</v>
      </c>
      <c r="K99" s="13">
        <v>643</v>
      </c>
      <c r="L99" s="18">
        <v>4431556</v>
      </c>
    </row>
    <row r="100" spans="2:12" x14ac:dyDescent="0.3">
      <c r="B100" s="17" t="s">
        <v>145</v>
      </c>
      <c r="C100" s="26" t="s">
        <v>419</v>
      </c>
      <c r="D100" s="13" t="s">
        <v>30</v>
      </c>
      <c r="E100" s="13" t="s">
        <v>146</v>
      </c>
      <c r="F100" s="13" t="s">
        <v>13</v>
      </c>
      <c r="G100" s="13" t="s">
        <v>76</v>
      </c>
      <c r="H100" s="13" t="s">
        <v>50</v>
      </c>
      <c r="I100" s="13" t="s">
        <v>15</v>
      </c>
      <c r="J100" s="13">
        <v>6946</v>
      </c>
      <c r="K100" s="13">
        <v>882</v>
      </c>
      <c r="L100" s="18">
        <v>6126372</v>
      </c>
    </row>
    <row r="101" spans="2:12" x14ac:dyDescent="0.3">
      <c r="B101" s="17" t="s">
        <v>147</v>
      </c>
      <c r="C101" s="26" t="s">
        <v>419</v>
      </c>
      <c r="D101" s="13" t="s">
        <v>30</v>
      </c>
      <c r="E101" s="13" t="s">
        <v>146</v>
      </c>
      <c r="F101" s="13" t="s">
        <v>13</v>
      </c>
      <c r="G101" s="13" t="s">
        <v>79</v>
      </c>
      <c r="H101" s="13" t="s">
        <v>50</v>
      </c>
      <c r="I101" s="13" t="s">
        <v>45</v>
      </c>
      <c r="J101" s="13">
        <v>8990</v>
      </c>
      <c r="K101" s="13">
        <v>666</v>
      </c>
      <c r="L101" s="18">
        <v>5987340</v>
      </c>
    </row>
    <row r="102" spans="2:12" x14ac:dyDescent="0.3">
      <c r="B102" s="17" t="s">
        <v>148</v>
      </c>
      <c r="C102" s="26" t="s">
        <v>419</v>
      </c>
      <c r="D102" s="13" t="s">
        <v>30</v>
      </c>
      <c r="E102" s="13" t="s">
        <v>146</v>
      </c>
      <c r="F102" s="13" t="s">
        <v>26</v>
      </c>
      <c r="G102" s="13" t="s">
        <v>81</v>
      </c>
      <c r="H102" s="13" t="s">
        <v>28</v>
      </c>
      <c r="I102" s="13" t="s">
        <v>15</v>
      </c>
      <c r="J102" s="13">
        <v>5594</v>
      </c>
      <c r="K102" s="13">
        <v>615</v>
      </c>
      <c r="L102" s="18">
        <v>3440310</v>
      </c>
    </row>
    <row r="103" spans="2:12" x14ac:dyDescent="0.3">
      <c r="B103" s="17" t="s">
        <v>149</v>
      </c>
      <c r="C103" s="26" t="s">
        <v>419</v>
      </c>
      <c r="D103" s="13" t="s">
        <v>30</v>
      </c>
      <c r="E103" s="13" t="s">
        <v>146</v>
      </c>
      <c r="F103" s="13" t="s">
        <v>26</v>
      </c>
      <c r="G103" s="13" t="s">
        <v>83</v>
      </c>
      <c r="H103" s="13" t="s">
        <v>28</v>
      </c>
      <c r="I103" s="13" t="s">
        <v>15</v>
      </c>
      <c r="J103" s="13">
        <v>5491</v>
      </c>
      <c r="K103" s="13">
        <v>601</v>
      </c>
      <c r="L103" s="18">
        <v>3300091</v>
      </c>
    </row>
    <row r="104" spans="2:12" x14ac:dyDescent="0.3">
      <c r="B104" s="17" t="s">
        <v>150</v>
      </c>
      <c r="C104" s="26" t="s">
        <v>419</v>
      </c>
      <c r="D104" s="13" t="s">
        <v>30</v>
      </c>
      <c r="E104" s="13" t="s">
        <v>146</v>
      </c>
      <c r="F104" s="13" t="s">
        <v>13</v>
      </c>
      <c r="G104" s="13" t="s">
        <v>85</v>
      </c>
      <c r="H104" s="13" t="s">
        <v>44</v>
      </c>
      <c r="I104" s="13" t="s">
        <v>15</v>
      </c>
      <c r="J104" s="13">
        <v>7225</v>
      </c>
      <c r="K104" s="13">
        <v>711</v>
      </c>
      <c r="L104" s="18">
        <v>5136975</v>
      </c>
    </row>
    <row r="105" spans="2:12" x14ac:dyDescent="0.3">
      <c r="B105" s="17" t="s">
        <v>151</v>
      </c>
      <c r="C105" s="26" t="s">
        <v>419</v>
      </c>
      <c r="D105" s="13" t="s">
        <v>30</v>
      </c>
      <c r="E105" s="13" t="s">
        <v>146</v>
      </c>
      <c r="F105" s="13" t="s">
        <v>13</v>
      </c>
      <c r="G105" s="13" t="s">
        <v>87</v>
      </c>
      <c r="H105" s="13" t="s">
        <v>50</v>
      </c>
      <c r="I105" s="13" t="s">
        <v>15</v>
      </c>
      <c r="J105" s="13">
        <v>2966</v>
      </c>
      <c r="K105" s="13">
        <v>977</v>
      </c>
      <c r="L105" s="18">
        <v>2897782</v>
      </c>
    </row>
    <row r="106" spans="2:12" x14ac:dyDescent="0.3">
      <c r="B106" s="17" t="s">
        <v>152</v>
      </c>
      <c r="C106" s="26" t="s">
        <v>419</v>
      </c>
      <c r="D106" s="13" t="s">
        <v>30</v>
      </c>
      <c r="E106" s="13" t="s">
        <v>146</v>
      </c>
      <c r="F106" s="13" t="s">
        <v>22</v>
      </c>
      <c r="G106" s="13" t="s">
        <v>89</v>
      </c>
      <c r="H106" s="13" t="s">
        <v>90</v>
      </c>
      <c r="I106" s="13" t="s">
        <v>45</v>
      </c>
      <c r="J106" s="13">
        <v>2421</v>
      </c>
      <c r="K106" s="13">
        <v>765</v>
      </c>
      <c r="L106" s="18">
        <v>1852065</v>
      </c>
    </row>
    <row r="107" spans="2:12" x14ac:dyDescent="0.3">
      <c r="B107" s="17" t="s">
        <v>153</v>
      </c>
      <c r="C107" s="26" t="s">
        <v>419</v>
      </c>
      <c r="D107" s="13" t="s">
        <v>30</v>
      </c>
      <c r="E107" s="13" t="s">
        <v>146</v>
      </c>
      <c r="F107" s="13" t="s">
        <v>26</v>
      </c>
      <c r="G107" s="13" t="s">
        <v>92</v>
      </c>
      <c r="H107" s="13" t="s">
        <v>93</v>
      </c>
      <c r="I107" s="13" t="s">
        <v>45</v>
      </c>
      <c r="J107" s="13">
        <v>8893</v>
      </c>
      <c r="K107" s="13">
        <v>848</v>
      </c>
      <c r="L107" s="18">
        <v>7541264</v>
      </c>
    </row>
    <row r="108" spans="2:12" x14ac:dyDescent="0.3">
      <c r="B108" s="17" t="s">
        <v>154</v>
      </c>
      <c r="C108" s="26" t="s">
        <v>419</v>
      </c>
      <c r="D108" s="13" t="s">
        <v>30</v>
      </c>
      <c r="E108" s="13" t="s">
        <v>146</v>
      </c>
      <c r="F108" s="13" t="s">
        <v>18</v>
      </c>
      <c r="G108" s="13" t="s">
        <v>95</v>
      </c>
      <c r="H108" s="13" t="s">
        <v>20</v>
      </c>
      <c r="I108" s="13" t="s">
        <v>45</v>
      </c>
      <c r="J108" s="13">
        <v>4938</v>
      </c>
      <c r="K108" s="13">
        <v>726</v>
      </c>
      <c r="L108" s="18">
        <v>3584988</v>
      </c>
    </row>
    <row r="109" spans="2:12" x14ac:dyDescent="0.3">
      <c r="B109" s="17" t="s">
        <v>155</v>
      </c>
      <c r="C109" s="26" t="s">
        <v>419</v>
      </c>
      <c r="D109" s="13" t="s">
        <v>30</v>
      </c>
      <c r="E109" s="13" t="s">
        <v>146</v>
      </c>
      <c r="F109" s="13" t="s">
        <v>13</v>
      </c>
      <c r="G109" s="13" t="s">
        <v>97</v>
      </c>
      <c r="H109" s="13" t="s">
        <v>98</v>
      </c>
      <c r="I109" s="13" t="s">
        <v>45</v>
      </c>
      <c r="J109" s="13">
        <v>4836</v>
      </c>
      <c r="K109" s="13">
        <v>783</v>
      </c>
      <c r="L109" s="18">
        <v>3786588</v>
      </c>
    </row>
    <row r="110" spans="2:12" x14ac:dyDescent="0.3">
      <c r="B110" s="17" t="s">
        <v>156</v>
      </c>
      <c r="C110" s="26" t="s">
        <v>419</v>
      </c>
      <c r="D110" s="13" t="s">
        <v>30</v>
      </c>
      <c r="E110" s="13" t="s">
        <v>146</v>
      </c>
      <c r="F110" s="13" t="s">
        <v>13</v>
      </c>
      <c r="G110" s="13" t="s">
        <v>100</v>
      </c>
      <c r="H110" s="13" t="s">
        <v>101</v>
      </c>
      <c r="I110" s="13" t="s">
        <v>45</v>
      </c>
      <c r="J110" s="13">
        <v>3490</v>
      </c>
      <c r="K110" s="13">
        <v>889</v>
      </c>
      <c r="L110" s="18">
        <v>3102610</v>
      </c>
    </row>
    <row r="111" spans="2:12" x14ac:dyDescent="0.3">
      <c r="B111" s="17" t="s">
        <v>157</v>
      </c>
      <c r="C111" s="26" t="s">
        <v>419</v>
      </c>
      <c r="D111" s="13" t="s">
        <v>158</v>
      </c>
      <c r="E111" s="13" t="s">
        <v>159</v>
      </c>
      <c r="F111" s="13" t="s">
        <v>103</v>
      </c>
      <c r="G111" s="13" t="s">
        <v>104</v>
      </c>
      <c r="H111" s="13" t="s">
        <v>105</v>
      </c>
      <c r="I111" s="13" t="s">
        <v>45</v>
      </c>
      <c r="J111" s="13">
        <v>1921</v>
      </c>
      <c r="K111" s="13">
        <v>568</v>
      </c>
      <c r="L111" s="18">
        <v>1091128</v>
      </c>
    </row>
    <row r="112" spans="2:12" x14ac:dyDescent="0.3">
      <c r="B112" s="17" t="s">
        <v>160</v>
      </c>
      <c r="C112" s="26" t="s">
        <v>419</v>
      </c>
      <c r="D112" s="13" t="s">
        <v>158</v>
      </c>
      <c r="E112" s="13" t="s">
        <v>159</v>
      </c>
      <c r="F112" s="13" t="s">
        <v>13</v>
      </c>
      <c r="G112" s="13" t="s">
        <v>107</v>
      </c>
      <c r="H112" s="13" t="s">
        <v>108</v>
      </c>
      <c r="I112" s="13" t="s">
        <v>45</v>
      </c>
      <c r="J112" s="13">
        <v>5036</v>
      </c>
      <c r="K112" s="13">
        <v>745</v>
      </c>
      <c r="L112" s="18">
        <v>3751820</v>
      </c>
    </row>
    <row r="113" spans="2:12" x14ac:dyDescent="0.3">
      <c r="B113" s="17" t="s">
        <v>161</v>
      </c>
      <c r="C113" s="26" t="s">
        <v>419</v>
      </c>
      <c r="D113" s="13" t="s">
        <v>158</v>
      </c>
      <c r="E113" s="13" t="s">
        <v>159</v>
      </c>
      <c r="F113" s="13" t="s">
        <v>56</v>
      </c>
      <c r="G113" s="13" t="s">
        <v>110</v>
      </c>
      <c r="H113" s="13" t="s">
        <v>111</v>
      </c>
      <c r="I113" s="13" t="s">
        <v>45</v>
      </c>
      <c r="J113" s="13">
        <v>6124</v>
      </c>
      <c r="K113" s="13">
        <v>634</v>
      </c>
      <c r="L113" s="18">
        <v>3882616</v>
      </c>
    </row>
    <row r="114" spans="2:12" x14ac:dyDescent="0.3">
      <c r="B114" s="17" t="s">
        <v>162</v>
      </c>
      <c r="C114" s="26" t="s">
        <v>419</v>
      </c>
      <c r="D114" s="13" t="s">
        <v>158</v>
      </c>
      <c r="E114" s="13" t="s">
        <v>159</v>
      </c>
      <c r="F114" s="13" t="s">
        <v>22</v>
      </c>
      <c r="G114" s="13" t="s">
        <v>113</v>
      </c>
      <c r="H114" s="13" t="s">
        <v>24</v>
      </c>
      <c r="I114" s="13" t="s">
        <v>45</v>
      </c>
      <c r="J114" s="13">
        <v>6233</v>
      </c>
      <c r="K114" s="13">
        <v>675</v>
      </c>
      <c r="L114" s="18">
        <v>4207275</v>
      </c>
    </row>
    <row r="115" spans="2:12" x14ac:dyDescent="0.3">
      <c r="B115" s="17" t="s">
        <v>163</v>
      </c>
      <c r="C115" s="26" t="s">
        <v>419</v>
      </c>
      <c r="D115" s="13" t="s">
        <v>158</v>
      </c>
      <c r="E115" s="13" t="s">
        <v>159</v>
      </c>
      <c r="F115" s="13" t="s">
        <v>22</v>
      </c>
      <c r="G115" s="13" t="s">
        <v>23</v>
      </c>
      <c r="H115" s="13" t="s">
        <v>24</v>
      </c>
      <c r="I115" s="13" t="s">
        <v>45</v>
      </c>
      <c r="J115" s="13">
        <v>9156</v>
      </c>
      <c r="K115" s="13">
        <v>778</v>
      </c>
      <c r="L115" s="18">
        <v>7123368</v>
      </c>
    </row>
    <row r="116" spans="2:12" x14ac:dyDescent="0.3">
      <c r="B116" s="17" t="s">
        <v>164</v>
      </c>
      <c r="C116" s="26" t="s">
        <v>419</v>
      </c>
      <c r="D116" s="13" t="s">
        <v>158</v>
      </c>
      <c r="E116" s="13" t="s">
        <v>159</v>
      </c>
      <c r="F116" s="13" t="s">
        <v>56</v>
      </c>
      <c r="G116" s="13" t="s">
        <v>117</v>
      </c>
      <c r="H116" s="13" t="s">
        <v>58</v>
      </c>
      <c r="I116" s="13" t="s">
        <v>15</v>
      </c>
      <c r="J116" s="13">
        <v>3687</v>
      </c>
      <c r="K116" s="13">
        <v>867</v>
      </c>
      <c r="L116" s="18">
        <v>3196629</v>
      </c>
    </row>
    <row r="117" spans="2:12" x14ac:dyDescent="0.3">
      <c r="B117" s="17" t="s">
        <v>165</v>
      </c>
      <c r="C117" s="26" t="s">
        <v>419</v>
      </c>
      <c r="D117" s="13" t="s">
        <v>158</v>
      </c>
      <c r="E117" s="13" t="s">
        <v>159</v>
      </c>
      <c r="F117" s="13" t="s">
        <v>22</v>
      </c>
      <c r="G117" s="13" t="s">
        <v>119</v>
      </c>
      <c r="H117" s="13" t="s">
        <v>90</v>
      </c>
      <c r="I117" s="13" t="s">
        <v>15</v>
      </c>
      <c r="J117" s="13">
        <v>3165</v>
      </c>
      <c r="K117" s="13">
        <v>903</v>
      </c>
      <c r="L117" s="18">
        <v>2857995</v>
      </c>
    </row>
    <row r="118" spans="2:12" x14ac:dyDescent="0.3">
      <c r="B118" s="17" t="s">
        <v>166</v>
      </c>
      <c r="C118" s="26" t="s">
        <v>419</v>
      </c>
      <c r="D118" s="13" t="s">
        <v>30</v>
      </c>
      <c r="E118" s="13" t="s">
        <v>133</v>
      </c>
      <c r="F118" s="13" t="s">
        <v>22</v>
      </c>
      <c r="G118" s="13" t="s">
        <v>121</v>
      </c>
      <c r="H118" s="13" t="s">
        <v>24</v>
      </c>
      <c r="I118" s="13" t="s">
        <v>15</v>
      </c>
      <c r="J118" s="13">
        <v>1580</v>
      </c>
      <c r="K118" s="13">
        <v>718</v>
      </c>
      <c r="L118" s="18">
        <v>1134440</v>
      </c>
    </row>
    <row r="119" spans="2:12" x14ac:dyDescent="0.3">
      <c r="B119" s="17" t="s">
        <v>167</v>
      </c>
      <c r="C119" s="26" t="s">
        <v>419</v>
      </c>
      <c r="D119" s="13" t="s">
        <v>30</v>
      </c>
      <c r="E119" s="13" t="s">
        <v>133</v>
      </c>
      <c r="F119" s="13" t="s">
        <v>26</v>
      </c>
      <c r="G119" s="13" t="s">
        <v>123</v>
      </c>
      <c r="H119" s="13" t="s">
        <v>33</v>
      </c>
      <c r="I119" s="13" t="s">
        <v>15</v>
      </c>
      <c r="J119" s="13">
        <v>5627</v>
      </c>
      <c r="K119" s="13">
        <v>539</v>
      </c>
      <c r="L119" s="18">
        <v>3032953</v>
      </c>
    </row>
    <row r="120" spans="2:12" x14ac:dyDescent="0.3">
      <c r="B120" s="17" t="s">
        <v>168</v>
      </c>
      <c r="C120" s="26" t="s">
        <v>419</v>
      </c>
      <c r="D120" s="13" t="s">
        <v>30</v>
      </c>
      <c r="E120" s="13" t="s">
        <v>133</v>
      </c>
      <c r="F120" s="13" t="s">
        <v>13</v>
      </c>
      <c r="G120" s="13" t="s">
        <v>14</v>
      </c>
      <c r="H120" s="13" t="s">
        <v>14</v>
      </c>
      <c r="I120" s="13" t="s">
        <v>15</v>
      </c>
      <c r="J120" s="13">
        <v>3396</v>
      </c>
      <c r="K120" s="13">
        <v>865</v>
      </c>
      <c r="L120" s="18">
        <v>2937540</v>
      </c>
    </row>
    <row r="121" spans="2:12" x14ac:dyDescent="0.3">
      <c r="B121" s="17" t="s">
        <v>169</v>
      </c>
      <c r="C121" s="26" t="s">
        <v>419</v>
      </c>
      <c r="D121" s="13" t="s">
        <v>30</v>
      </c>
      <c r="E121" s="13" t="s">
        <v>133</v>
      </c>
      <c r="F121" s="13" t="s">
        <v>18</v>
      </c>
      <c r="G121" s="13" t="s">
        <v>19</v>
      </c>
      <c r="H121" s="13" t="s">
        <v>20</v>
      </c>
      <c r="I121" s="13" t="s">
        <v>45</v>
      </c>
      <c r="J121" s="13">
        <v>7609</v>
      </c>
      <c r="K121" s="13">
        <v>636</v>
      </c>
      <c r="L121" s="18">
        <v>4839324</v>
      </c>
    </row>
    <row r="122" spans="2:12" x14ac:dyDescent="0.3">
      <c r="B122" s="17" t="s">
        <v>170</v>
      </c>
      <c r="C122" s="26" t="s">
        <v>420</v>
      </c>
      <c r="D122" s="13" t="s">
        <v>30</v>
      </c>
      <c r="E122" s="13" t="s">
        <v>133</v>
      </c>
      <c r="F122" s="13" t="s">
        <v>22</v>
      </c>
      <c r="G122" s="13" t="s">
        <v>23</v>
      </c>
      <c r="H122" s="13" t="s">
        <v>24</v>
      </c>
      <c r="I122" s="13" t="s">
        <v>45</v>
      </c>
      <c r="J122" s="13">
        <v>2460</v>
      </c>
      <c r="K122" s="13">
        <v>571</v>
      </c>
      <c r="L122" s="18">
        <v>1404660</v>
      </c>
    </row>
    <row r="123" spans="2:12" x14ac:dyDescent="0.3">
      <c r="B123" s="17" t="s">
        <v>171</v>
      </c>
      <c r="C123" s="26" t="s">
        <v>420</v>
      </c>
      <c r="D123" s="13" t="s">
        <v>30</v>
      </c>
      <c r="E123" s="13" t="s">
        <v>146</v>
      </c>
      <c r="F123" s="13" t="s">
        <v>26</v>
      </c>
      <c r="G123" s="13" t="s">
        <v>27</v>
      </c>
      <c r="H123" s="13" t="s">
        <v>28</v>
      </c>
      <c r="I123" s="13" t="s">
        <v>45</v>
      </c>
      <c r="J123" s="13">
        <v>8048</v>
      </c>
      <c r="K123" s="13">
        <v>648</v>
      </c>
      <c r="L123" s="18">
        <v>5215104</v>
      </c>
    </row>
    <row r="124" spans="2:12" x14ac:dyDescent="0.3">
      <c r="B124" s="17" t="s">
        <v>172</v>
      </c>
      <c r="C124" s="26" t="s">
        <v>420</v>
      </c>
      <c r="D124" s="13" t="s">
        <v>30</v>
      </c>
      <c r="E124" s="13" t="s">
        <v>146</v>
      </c>
      <c r="F124" s="13" t="s">
        <v>26</v>
      </c>
      <c r="G124" s="13" t="s">
        <v>32</v>
      </c>
      <c r="H124" s="13" t="s">
        <v>33</v>
      </c>
      <c r="I124" s="13" t="s">
        <v>15</v>
      </c>
      <c r="J124" s="13">
        <v>6821</v>
      </c>
      <c r="K124" s="13">
        <v>871</v>
      </c>
      <c r="L124" s="18">
        <v>5941091</v>
      </c>
    </row>
    <row r="125" spans="2:12" x14ac:dyDescent="0.3">
      <c r="B125" s="17" t="s">
        <v>173</v>
      </c>
      <c r="C125" s="26" t="s">
        <v>420</v>
      </c>
      <c r="D125" s="13" t="s">
        <v>30</v>
      </c>
      <c r="E125" s="13" t="s">
        <v>146</v>
      </c>
      <c r="F125" s="13" t="s">
        <v>26</v>
      </c>
      <c r="G125" s="13" t="s">
        <v>35</v>
      </c>
      <c r="H125" s="13" t="s">
        <v>36</v>
      </c>
      <c r="I125" s="13" t="s">
        <v>15</v>
      </c>
      <c r="J125" s="13">
        <v>1898</v>
      </c>
      <c r="K125" s="13">
        <v>726</v>
      </c>
      <c r="L125" s="18">
        <v>1377948</v>
      </c>
    </row>
    <row r="126" spans="2:12" x14ac:dyDescent="0.3">
      <c r="B126" s="17" t="s">
        <v>174</v>
      </c>
      <c r="C126" s="26" t="s">
        <v>420</v>
      </c>
      <c r="D126" s="13" t="s">
        <v>30</v>
      </c>
      <c r="E126" s="13" t="s">
        <v>146</v>
      </c>
      <c r="F126" s="13" t="s">
        <v>18</v>
      </c>
      <c r="G126" s="13" t="s">
        <v>38</v>
      </c>
      <c r="H126" s="13" t="s">
        <v>39</v>
      </c>
      <c r="I126" s="13" t="s">
        <v>15</v>
      </c>
      <c r="J126" s="13">
        <v>8320</v>
      </c>
      <c r="K126" s="13">
        <v>701</v>
      </c>
      <c r="L126" s="18">
        <v>5832320</v>
      </c>
    </row>
    <row r="127" spans="2:12" x14ac:dyDescent="0.3">
      <c r="B127" s="17" t="s">
        <v>175</v>
      </c>
      <c r="C127" s="26" t="s">
        <v>420</v>
      </c>
      <c r="D127" s="13" t="s">
        <v>30</v>
      </c>
      <c r="E127" s="13" t="s">
        <v>146</v>
      </c>
      <c r="F127" s="13" t="s">
        <v>18</v>
      </c>
      <c r="G127" s="13" t="s">
        <v>41</v>
      </c>
      <c r="H127" s="13" t="s">
        <v>20</v>
      </c>
      <c r="I127" s="13" t="s">
        <v>15</v>
      </c>
      <c r="J127" s="13">
        <v>7085</v>
      </c>
      <c r="K127" s="13">
        <v>980</v>
      </c>
      <c r="L127" s="18">
        <v>6943300</v>
      </c>
    </row>
    <row r="128" spans="2:12" x14ac:dyDescent="0.3">
      <c r="B128" s="17" t="s">
        <v>176</v>
      </c>
      <c r="C128" s="26" t="s">
        <v>420</v>
      </c>
      <c r="D128" s="13" t="s">
        <v>30</v>
      </c>
      <c r="E128" s="13" t="s">
        <v>146</v>
      </c>
      <c r="F128" s="13" t="s">
        <v>13</v>
      </c>
      <c r="G128" s="13" t="s">
        <v>43</v>
      </c>
      <c r="H128" s="13" t="s">
        <v>44</v>
      </c>
      <c r="I128" s="13" t="s">
        <v>15</v>
      </c>
      <c r="J128" s="13">
        <v>7382</v>
      </c>
      <c r="K128" s="13">
        <v>866</v>
      </c>
      <c r="L128" s="18">
        <v>6392812</v>
      </c>
    </row>
    <row r="129" spans="2:12" x14ac:dyDescent="0.3">
      <c r="B129" s="17" t="s">
        <v>177</v>
      </c>
      <c r="C129" s="26" t="s">
        <v>420</v>
      </c>
      <c r="D129" s="13" t="s">
        <v>158</v>
      </c>
      <c r="E129" s="13" t="s">
        <v>178</v>
      </c>
      <c r="F129" s="13" t="s">
        <v>18</v>
      </c>
      <c r="G129" s="13" t="s">
        <v>47</v>
      </c>
      <c r="H129" s="13" t="s">
        <v>39</v>
      </c>
      <c r="I129" s="13" t="s">
        <v>45</v>
      </c>
      <c r="J129" s="13">
        <v>4636</v>
      </c>
      <c r="K129" s="13">
        <v>976</v>
      </c>
      <c r="L129" s="18">
        <v>4524736</v>
      </c>
    </row>
    <row r="130" spans="2:12" x14ac:dyDescent="0.3">
      <c r="B130" s="17" t="s">
        <v>179</v>
      </c>
      <c r="C130" s="26" t="s">
        <v>420</v>
      </c>
      <c r="D130" s="13" t="s">
        <v>158</v>
      </c>
      <c r="E130" s="13" t="s">
        <v>178</v>
      </c>
      <c r="F130" s="13" t="s">
        <v>13</v>
      </c>
      <c r="G130" s="13" t="s">
        <v>49</v>
      </c>
      <c r="H130" s="13" t="s">
        <v>50</v>
      </c>
      <c r="I130" s="13" t="s">
        <v>45</v>
      </c>
      <c r="J130" s="13">
        <v>2540</v>
      </c>
      <c r="K130" s="13">
        <v>735</v>
      </c>
      <c r="L130" s="18">
        <v>1866900</v>
      </c>
    </row>
    <row r="131" spans="2:12" x14ac:dyDescent="0.3">
      <c r="B131" s="17" t="s">
        <v>180</v>
      </c>
      <c r="C131" s="26" t="s">
        <v>420</v>
      </c>
      <c r="D131" s="13" t="s">
        <v>158</v>
      </c>
      <c r="E131" s="13" t="s">
        <v>178</v>
      </c>
      <c r="F131" s="13" t="s">
        <v>13</v>
      </c>
      <c r="G131" s="13" t="s">
        <v>52</v>
      </c>
      <c r="H131" s="13" t="s">
        <v>50</v>
      </c>
      <c r="I131" s="13" t="s">
        <v>45</v>
      </c>
      <c r="J131" s="13">
        <v>6995</v>
      </c>
      <c r="K131" s="13">
        <v>959</v>
      </c>
      <c r="L131" s="18">
        <v>6708205</v>
      </c>
    </row>
    <row r="132" spans="2:12" x14ac:dyDescent="0.3">
      <c r="B132" s="17" t="s">
        <v>181</v>
      </c>
      <c r="C132" s="26" t="s">
        <v>420</v>
      </c>
      <c r="D132" s="13" t="s">
        <v>158</v>
      </c>
      <c r="E132" s="13" t="s">
        <v>178</v>
      </c>
      <c r="F132" s="13" t="s">
        <v>18</v>
      </c>
      <c r="G132" s="13" t="s">
        <v>54</v>
      </c>
      <c r="H132" s="13" t="s">
        <v>20</v>
      </c>
      <c r="I132" s="13" t="s">
        <v>45</v>
      </c>
      <c r="J132" s="13">
        <v>8442</v>
      </c>
      <c r="K132" s="13">
        <v>618</v>
      </c>
      <c r="L132" s="18">
        <v>5217156</v>
      </c>
    </row>
    <row r="133" spans="2:12" x14ac:dyDescent="0.3">
      <c r="B133" s="17" t="s">
        <v>182</v>
      </c>
      <c r="C133" s="26" t="s">
        <v>420</v>
      </c>
      <c r="D133" s="13" t="s">
        <v>158</v>
      </c>
      <c r="E133" s="13" t="s">
        <v>178</v>
      </c>
      <c r="F133" s="13" t="s">
        <v>56</v>
      </c>
      <c r="G133" s="13" t="s">
        <v>57</v>
      </c>
      <c r="H133" s="13" t="s">
        <v>58</v>
      </c>
      <c r="I133" s="13" t="s">
        <v>45</v>
      </c>
      <c r="J133" s="13">
        <v>8766</v>
      </c>
      <c r="K133" s="13">
        <v>813</v>
      </c>
      <c r="L133" s="18">
        <v>7126758</v>
      </c>
    </row>
    <row r="134" spans="2:12" x14ac:dyDescent="0.3">
      <c r="B134" s="17" t="s">
        <v>183</v>
      </c>
      <c r="C134" s="26" t="s">
        <v>420</v>
      </c>
      <c r="D134" s="13" t="s">
        <v>158</v>
      </c>
      <c r="E134" s="13" t="s">
        <v>178</v>
      </c>
      <c r="F134" s="13" t="s">
        <v>18</v>
      </c>
      <c r="G134" s="13" t="s">
        <v>61</v>
      </c>
      <c r="H134" s="13" t="s">
        <v>20</v>
      </c>
      <c r="I134" s="13" t="s">
        <v>45</v>
      </c>
      <c r="J134" s="13">
        <v>2645</v>
      </c>
      <c r="K134" s="13">
        <v>513</v>
      </c>
      <c r="L134" s="18">
        <v>1356885</v>
      </c>
    </row>
    <row r="135" spans="2:12" x14ac:dyDescent="0.3">
      <c r="B135" s="17" t="s">
        <v>184</v>
      </c>
      <c r="C135" s="26" t="s">
        <v>420</v>
      </c>
      <c r="D135" s="13" t="s">
        <v>158</v>
      </c>
      <c r="E135" s="13" t="s">
        <v>178</v>
      </c>
      <c r="F135" s="13" t="s">
        <v>63</v>
      </c>
      <c r="G135" s="13" t="s">
        <v>64</v>
      </c>
      <c r="H135" s="13" t="s">
        <v>64</v>
      </c>
      <c r="I135" s="13" t="s">
        <v>45</v>
      </c>
      <c r="J135" s="13">
        <v>4794</v>
      </c>
      <c r="K135" s="13">
        <v>703</v>
      </c>
      <c r="L135" s="18">
        <v>3370182</v>
      </c>
    </row>
    <row r="136" spans="2:12" x14ac:dyDescent="0.3">
      <c r="B136" s="17" t="s">
        <v>185</v>
      </c>
      <c r="C136" s="26" t="s">
        <v>420</v>
      </c>
      <c r="D136" s="13" t="s">
        <v>158</v>
      </c>
      <c r="E136" s="13" t="s">
        <v>178</v>
      </c>
      <c r="F136" s="13" t="s">
        <v>56</v>
      </c>
      <c r="G136" s="13" t="s">
        <v>66</v>
      </c>
      <c r="H136" s="13" t="s">
        <v>58</v>
      </c>
      <c r="I136" s="13" t="s">
        <v>15</v>
      </c>
      <c r="J136" s="13">
        <v>4067</v>
      </c>
      <c r="K136" s="13">
        <v>710</v>
      </c>
      <c r="L136" s="18">
        <v>2887570</v>
      </c>
    </row>
    <row r="137" spans="2:12" x14ac:dyDescent="0.3">
      <c r="B137" s="17" t="s">
        <v>186</v>
      </c>
      <c r="C137" s="26" t="s">
        <v>420</v>
      </c>
      <c r="D137" s="13" t="s">
        <v>158</v>
      </c>
      <c r="E137" s="13" t="s">
        <v>178</v>
      </c>
      <c r="F137" s="13" t="s">
        <v>26</v>
      </c>
      <c r="G137" s="13" t="s">
        <v>68</v>
      </c>
      <c r="H137" s="13" t="s">
        <v>69</v>
      </c>
      <c r="I137" s="13" t="s">
        <v>15</v>
      </c>
      <c r="J137" s="13">
        <v>9519</v>
      </c>
      <c r="K137" s="13">
        <v>949</v>
      </c>
      <c r="L137" s="18">
        <v>9033531</v>
      </c>
    </row>
    <row r="138" spans="2:12" x14ac:dyDescent="0.3">
      <c r="B138" s="17" t="s">
        <v>187</v>
      </c>
      <c r="C138" s="26" t="s">
        <v>420</v>
      </c>
      <c r="D138" s="13" t="s">
        <v>158</v>
      </c>
      <c r="E138" s="13" t="s">
        <v>178</v>
      </c>
      <c r="F138" s="13" t="s">
        <v>22</v>
      </c>
      <c r="G138" s="13" t="s">
        <v>71</v>
      </c>
      <c r="H138" s="13" t="s">
        <v>72</v>
      </c>
      <c r="I138" s="13" t="s">
        <v>15</v>
      </c>
      <c r="J138" s="13">
        <v>7217</v>
      </c>
      <c r="K138" s="13">
        <v>935</v>
      </c>
      <c r="L138" s="18">
        <v>6747895</v>
      </c>
    </row>
    <row r="139" spans="2:12" x14ac:dyDescent="0.3">
      <c r="B139" s="17" t="s">
        <v>188</v>
      </c>
      <c r="C139" s="26" t="s">
        <v>420</v>
      </c>
      <c r="D139" s="13" t="s">
        <v>158</v>
      </c>
      <c r="E139" s="13" t="s">
        <v>178</v>
      </c>
      <c r="F139" s="13" t="s">
        <v>18</v>
      </c>
      <c r="G139" s="13" t="s">
        <v>74</v>
      </c>
      <c r="H139" s="13" t="s">
        <v>39</v>
      </c>
      <c r="I139" s="13" t="s">
        <v>15</v>
      </c>
      <c r="J139" s="13">
        <v>1885</v>
      </c>
      <c r="K139" s="13">
        <v>811</v>
      </c>
      <c r="L139" s="18">
        <v>1528735</v>
      </c>
    </row>
    <row r="140" spans="2:12" x14ac:dyDescent="0.3">
      <c r="B140" s="17" t="s">
        <v>189</v>
      </c>
      <c r="C140" s="26" t="s">
        <v>420</v>
      </c>
      <c r="D140" s="13" t="s">
        <v>158</v>
      </c>
      <c r="E140" s="13" t="s">
        <v>178</v>
      </c>
      <c r="F140" s="13" t="s">
        <v>13</v>
      </c>
      <c r="G140" s="13" t="s">
        <v>76</v>
      </c>
      <c r="H140" s="13" t="s">
        <v>50</v>
      </c>
      <c r="I140" s="13" t="s">
        <v>45</v>
      </c>
      <c r="J140" s="13">
        <v>8921</v>
      </c>
      <c r="K140" s="13">
        <v>593</v>
      </c>
      <c r="L140" s="18">
        <v>5290153</v>
      </c>
    </row>
    <row r="141" spans="2:12" x14ac:dyDescent="0.3">
      <c r="B141" s="17" t="s">
        <v>190</v>
      </c>
      <c r="C141" s="26" t="s">
        <v>420</v>
      </c>
      <c r="D141" s="13" t="s">
        <v>11</v>
      </c>
      <c r="E141" s="13" t="s">
        <v>116</v>
      </c>
      <c r="F141" s="13" t="s">
        <v>13</v>
      </c>
      <c r="G141" s="13" t="s">
        <v>79</v>
      </c>
      <c r="H141" s="13" t="s">
        <v>50</v>
      </c>
      <c r="I141" s="13" t="s">
        <v>15</v>
      </c>
      <c r="J141" s="13">
        <v>6596</v>
      </c>
      <c r="K141" s="13">
        <v>501</v>
      </c>
      <c r="L141" s="18">
        <v>3304596</v>
      </c>
    </row>
    <row r="142" spans="2:12" x14ac:dyDescent="0.3">
      <c r="B142" s="17" t="s">
        <v>191</v>
      </c>
      <c r="C142" s="26" t="s">
        <v>420</v>
      </c>
      <c r="D142" s="13" t="s">
        <v>11</v>
      </c>
      <c r="E142" s="13" t="s">
        <v>116</v>
      </c>
      <c r="F142" s="13" t="s">
        <v>26</v>
      </c>
      <c r="G142" s="13" t="s">
        <v>81</v>
      </c>
      <c r="H142" s="13" t="s">
        <v>28</v>
      </c>
      <c r="I142" s="13" t="s">
        <v>15</v>
      </c>
      <c r="J142" s="13">
        <v>3074</v>
      </c>
      <c r="K142" s="13">
        <v>869</v>
      </c>
      <c r="L142" s="18">
        <v>2671306</v>
      </c>
    </row>
    <row r="143" spans="2:12" x14ac:dyDescent="0.3">
      <c r="B143" s="17" t="s">
        <v>192</v>
      </c>
      <c r="C143" s="26" t="s">
        <v>420</v>
      </c>
      <c r="D143" s="13" t="s">
        <v>11</v>
      </c>
      <c r="E143" s="13" t="s">
        <v>116</v>
      </c>
      <c r="F143" s="13" t="s">
        <v>26</v>
      </c>
      <c r="G143" s="13" t="s">
        <v>83</v>
      </c>
      <c r="H143" s="13" t="s">
        <v>28</v>
      </c>
      <c r="I143" s="13" t="s">
        <v>15</v>
      </c>
      <c r="J143" s="13">
        <v>6116</v>
      </c>
      <c r="K143" s="13">
        <v>699</v>
      </c>
      <c r="L143" s="18">
        <v>4275084</v>
      </c>
    </row>
    <row r="144" spans="2:12" x14ac:dyDescent="0.3">
      <c r="B144" s="17" t="s">
        <v>193</v>
      </c>
      <c r="C144" s="26" t="s">
        <v>420</v>
      </c>
      <c r="D144" s="13" t="s">
        <v>11</v>
      </c>
      <c r="E144" s="13" t="s">
        <v>116</v>
      </c>
      <c r="F144" s="13" t="s">
        <v>13</v>
      </c>
      <c r="G144" s="13" t="s">
        <v>85</v>
      </c>
      <c r="H144" s="13" t="s">
        <v>44</v>
      </c>
      <c r="I144" s="13" t="s">
        <v>15</v>
      </c>
      <c r="J144" s="13">
        <v>5729</v>
      </c>
      <c r="K144" s="13">
        <v>753</v>
      </c>
      <c r="L144" s="18">
        <v>4313937</v>
      </c>
    </row>
    <row r="145" spans="2:12" x14ac:dyDescent="0.3">
      <c r="B145" s="17" t="s">
        <v>194</v>
      </c>
      <c r="C145" s="26" t="s">
        <v>420</v>
      </c>
      <c r="D145" s="13" t="s">
        <v>11</v>
      </c>
      <c r="E145" s="13" t="s">
        <v>116</v>
      </c>
      <c r="F145" s="13" t="s">
        <v>13</v>
      </c>
      <c r="G145" s="13" t="s">
        <v>87</v>
      </c>
      <c r="H145" s="13" t="s">
        <v>50</v>
      </c>
      <c r="I145" s="13" t="s">
        <v>45</v>
      </c>
      <c r="J145" s="13">
        <v>7181</v>
      </c>
      <c r="K145" s="13">
        <v>668</v>
      </c>
      <c r="L145" s="18">
        <v>4796908</v>
      </c>
    </row>
    <row r="146" spans="2:12" x14ac:dyDescent="0.3">
      <c r="B146" s="17" t="s">
        <v>195</v>
      </c>
      <c r="C146" s="26" t="s">
        <v>420</v>
      </c>
      <c r="D146" s="13" t="s">
        <v>11</v>
      </c>
      <c r="E146" s="13" t="s">
        <v>116</v>
      </c>
      <c r="F146" s="13" t="s">
        <v>22</v>
      </c>
      <c r="G146" s="13" t="s">
        <v>89</v>
      </c>
      <c r="H146" s="13" t="s">
        <v>90</v>
      </c>
      <c r="I146" s="13" t="s">
        <v>45</v>
      </c>
      <c r="J146" s="13">
        <v>9034</v>
      </c>
      <c r="K146" s="13">
        <v>730</v>
      </c>
      <c r="L146" s="18">
        <v>6594820</v>
      </c>
    </row>
    <row r="147" spans="2:12" x14ac:dyDescent="0.3">
      <c r="B147" s="17" t="s">
        <v>196</v>
      </c>
      <c r="C147" s="26" t="s">
        <v>420</v>
      </c>
      <c r="D147" s="13" t="s">
        <v>11</v>
      </c>
      <c r="E147" s="13" t="s">
        <v>116</v>
      </c>
      <c r="F147" s="13" t="s">
        <v>26</v>
      </c>
      <c r="G147" s="13" t="s">
        <v>92</v>
      </c>
      <c r="H147" s="13" t="s">
        <v>93</v>
      </c>
      <c r="I147" s="13" t="s">
        <v>45</v>
      </c>
      <c r="J147" s="13">
        <v>6005</v>
      </c>
      <c r="K147" s="13">
        <v>739</v>
      </c>
      <c r="L147" s="18">
        <v>4437695</v>
      </c>
    </row>
    <row r="148" spans="2:12" x14ac:dyDescent="0.3">
      <c r="B148" s="17" t="s">
        <v>197</v>
      </c>
      <c r="C148" s="26" t="s">
        <v>420</v>
      </c>
      <c r="D148" s="13" t="s">
        <v>11</v>
      </c>
      <c r="E148" s="13" t="s">
        <v>116</v>
      </c>
      <c r="F148" s="13" t="s">
        <v>18</v>
      </c>
      <c r="G148" s="13" t="s">
        <v>95</v>
      </c>
      <c r="H148" s="13" t="s">
        <v>20</v>
      </c>
      <c r="I148" s="13" t="s">
        <v>45</v>
      </c>
      <c r="J148" s="13">
        <v>5261</v>
      </c>
      <c r="K148" s="13">
        <v>626</v>
      </c>
      <c r="L148" s="18">
        <v>3293386</v>
      </c>
    </row>
    <row r="149" spans="2:12" x14ac:dyDescent="0.3">
      <c r="B149" s="17" t="s">
        <v>198</v>
      </c>
      <c r="C149" s="26" t="s">
        <v>420</v>
      </c>
      <c r="D149" s="13" t="s">
        <v>11</v>
      </c>
      <c r="E149" s="13" t="s">
        <v>116</v>
      </c>
      <c r="F149" s="13" t="s">
        <v>13</v>
      </c>
      <c r="G149" s="13" t="s">
        <v>97</v>
      </c>
      <c r="H149" s="13" t="s">
        <v>98</v>
      </c>
      <c r="I149" s="13" t="s">
        <v>45</v>
      </c>
      <c r="J149" s="13">
        <v>5989</v>
      </c>
      <c r="K149" s="13">
        <v>889</v>
      </c>
      <c r="L149" s="18">
        <v>5324221</v>
      </c>
    </row>
    <row r="150" spans="2:12" x14ac:dyDescent="0.3">
      <c r="B150" s="17" t="s">
        <v>199</v>
      </c>
      <c r="C150" s="26" t="s">
        <v>420</v>
      </c>
      <c r="D150" s="13" t="s">
        <v>11</v>
      </c>
      <c r="E150" s="13" t="s">
        <v>116</v>
      </c>
      <c r="F150" s="13" t="s">
        <v>13</v>
      </c>
      <c r="G150" s="13" t="s">
        <v>100</v>
      </c>
      <c r="H150" s="13" t="s">
        <v>101</v>
      </c>
      <c r="I150" s="13" t="s">
        <v>45</v>
      </c>
      <c r="J150" s="13">
        <v>6350</v>
      </c>
      <c r="K150" s="13">
        <v>615</v>
      </c>
      <c r="L150" s="18">
        <v>3905250</v>
      </c>
    </row>
    <row r="151" spans="2:12" x14ac:dyDescent="0.3">
      <c r="B151" s="17" t="s">
        <v>200</v>
      </c>
      <c r="C151" s="26" t="s">
        <v>420</v>
      </c>
      <c r="D151" s="13" t="s">
        <v>11</v>
      </c>
      <c r="E151" s="13" t="s">
        <v>116</v>
      </c>
      <c r="F151" s="13" t="s">
        <v>103</v>
      </c>
      <c r="G151" s="13" t="s">
        <v>104</v>
      </c>
      <c r="H151" s="13" t="s">
        <v>105</v>
      </c>
      <c r="I151" s="13" t="s">
        <v>45</v>
      </c>
      <c r="J151" s="13">
        <v>9014</v>
      </c>
      <c r="K151" s="13">
        <v>687</v>
      </c>
      <c r="L151" s="18">
        <v>6192618</v>
      </c>
    </row>
    <row r="152" spans="2:12" x14ac:dyDescent="0.3">
      <c r="B152" s="17" t="s">
        <v>201</v>
      </c>
      <c r="C152" s="26" t="s">
        <v>420</v>
      </c>
      <c r="D152" s="13" t="s">
        <v>30</v>
      </c>
      <c r="E152" s="13" t="s">
        <v>133</v>
      </c>
      <c r="F152" s="13" t="s">
        <v>13</v>
      </c>
      <c r="G152" s="13" t="s">
        <v>107</v>
      </c>
      <c r="H152" s="13" t="s">
        <v>108</v>
      </c>
      <c r="I152" s="13" t="s">
        <v>45</v>
      </c>
      <c r="J152" s="13">
        <v>9418</v>
      </c>
      <c r="K152" s="13">
        <v>558</v>
      </c>
      <c r="L152" s="18">
        <v>5255244</v>
      </c>
    </row>
    <row r="153" spans="2:12" x14ac:dyDescent="0.3">
      <c r="B153" s="17" t="s">
        <v>202</v>
      </c>
      <c r="C153" s="26" t="s">
        <v>420</v>
      </c>
      <c r="D153" s="13" t="s">
        <v>30</v>
      </c>
      <c r="E153" s="13" t="s">
        <v>133</v>
      </c>
      <c r="F153" s="13" t="s">
        <v>56</v>
      </c>
      <c r="G153" s="13" t="s">
        <v>110</v>
      </c>
      <c r="H153" s="13" t="s">
        <v>111</v>
      </c>
      <c r="I153" s="13" t="s">
        <v>45</v>
      </c>
      <c r="J153" s="13">
        <v>8665</v>
      </c>
      <c r="K153" s="13">
        <v>743</v>
      </c>
      <c r="L153" s="18">
        <v>6438095</v>
      </c>
    </row>
    <row r="154" spans="2:12" x14ac:dyDescent="0.3">
      <c r="B154" s="17" t="s">
        <v>203</v>
      </c>
      <c r="C154" s="26" t="s">
        <v>420</v>
      </c>
      <c r="D154" s="13" t="s">
        <v>30</v>
      </c>
      <c r="E154" s="13" t="s">
        <v>133</v>
      </c>
      <c r="F154" s="13" t="s">
        <v>22</v>
      </c>
      <c r="G154" s="13" t="s">
        <v>113</v>
      </c>
      <c r="H154" s="13" t="s">
        <v>24</v>
      </c>
      <c r="I154" s="13" t="s">
        <v>45</v>
      </c>
      <c r="J154" s="13">
        <v>5344</v>
      </c>
      <c r="K154" s="13">
        <v>500</v>
      </c>
      <c r="L154" s="18">
        <v>2672000</v>
      </c>
    </row>
    <row r="155" spans="2:12" x14ac:dyDescent="0.3">
      <c r="B155" s="17" t="s">
        <v>204</v>
      </c>
      <c r="C155" s="26" t="s">
        <v>420</v>
      </c>
      <c r="D155" s="13" t="s">
        <v>30</v>
      </c>
      <c r="E155" s="13" t="s">
        <v>133</v>
      </c>
      <c r="F155" s="13" t="s">
        <v>22</v>
      </c>
      <c r="G155" s="13" t="s">
        <v>23</v>
      </c>
      <c r="H155" s="13" t="s">
        <v>24</v>
      </c>
      <c r="I155" s="13" t="s">
        <v>45</v>
      </c>
      <c r="J155" s="13">
        <v>7204</v>
      </c>
      <c r="K155" s="13">
        <v>944</v>
      </c>
      <c r="L155" s="18">
        <v>6800576</v>
      </c>
    </row>
    <row r="156" spans="2:12" x14ac:dyDescent="0.3">
      <c r="B156" s="17" t="s">
        <v>205</v>
      </c>
      <c r="C156" s="26" t="s">
        <v>420</v>
      </c>
      <c r="D156" s="13" t="s">
        <v>30</v>
      </c>
      <c r="E156" s="13" t="s">
        <v>133</v>
      </c>
      <c r="F156" s="13" t="s">
        <v>56</v>
      </c>
      <c r="G156" s="13" t="s">
        <v>117</v>
      </c>
      <c r="H156" s="13" t="s">
        <v>58</v>
      </c>
      <c r="I156" s="13" t="s">
        <v>45</v>
      </c>
      <c r="J156" s="13">
        <v>5004</v>
      </c>
      <c r="K156" s="13">
        <v>681</v>
      </c>
      <c r="L156" s="18">
        <v>3407724</v>
      </c>
    </row>
    <row r="157" spans="2:12" x14ac:dyDescent="0.3">
      <c r="B157" s="17" t="s">
        <v>206</v>
      </c>
      <c r="C157" s="26" t="s">
        <v>420</v>
      </c>
      <c r="D157" s="13" t="s">
        <v>30</v>
      </c>
      <c r="E157" s="13" t="s">
        <v>133</v>
      </c>
      <c r="F157" s="13" t="s">
        <v>22</v>
      </c>
      <c r="G157" s="13" t="s">
        <v>119</v>
      </c>
      <c r="H157" s="13" t="s">
        <v>90</v>
      </c>
      <c r="I157" s="13" t="s">
        <v>45</v>
      </c>
      <c r="J157" s="13">
        <v>2162</v>
      </c>
      <c r="K157" s="13">
        <v>880</v>
      </c>
      <c r="L157" s="18">
        <v>1902560</v>
      </c>
    </row>
    <row r="158" spans="2:12" x14ac:dyDescent="0.3">
      <c r="B158" s="17" t="s">
        <v>207</v>
      </c>
      <c r="C158" s="26" t="s">
        <v>420</v>
      </c>
      <c r="D158" s="13" t="s">
        <v>30</v>
      </c>
      <c r="E158" s="13" t="s">
        <v>133</v>
      </c>
      <c r="F158" s="13" t="s">
        <v>22</v>
      </c>
      <c r="G158" s="13" t="s">
        <v>121</v>
      </c>
      <c r="H158" s="13" t="s">
        <v>24</v>
      </c>
      <c r="I158" s="13" t="s">
        <v>45</v>
      </c>
      <c r="J158" s="13">
        <v>6223</v>
      </c>
      <c r="K158" s="13">
        <v>783</v>
      </c>
      <c r="L158" s="18">
        <v>4872609</v>
      </c>
    </row>
    <row r="159" spans="2:12" x14ac:dyDescent="0.3">
      <c r="B159" s="17" t="s">
        <v>208</v>
      </c>
      <c r="C159" s="26" t="s">
        <v>421</v>
      </c>
      <c r="D159" s="13" t="s">
        <v>30</v>
      </c>
      <c r="E159" s="13" t="s">
        <v>133</v>
      </c>
      <c r="F159" s="13" t="s">
        <v>26</v>
      </c>
      <c r="G159" s="13" t="s">
        <v>123</v>
      </c>
      <c r="H159" s="13" t="s">
        <v>33</v>
      </c>
      <c r="I159" s="13" t="s">
        <v>45</v>
      </c>
      <c r="J159" s="13">
        <v>5481</v>
      </c>
      <c r="K159" s="13">
        <v>646</v>
      </c>
      <c r="L159" s="18">
        <v>3540726</v>
      </c>
    </row>
    <row r="160" spans="2:12" x14ac:dyDescent="0.3">
      <c r="B160" s="17" t="s">
        <v>209</v>
      </c>
      <c r="C160" s="26" t="s">
        <v>421</v>
      </c>
      <c r="D160" s="13" t="s">
        <v>30</v>
      </c>
      <c r="E160" s="13" t="s">
        <v>133</v>
      </c>
      <c r="F160" s="13" t="s">
        <v>13</v>
      </c>
      <c r="G160" s="13" t="s">
        <v>14</v>
      </c>
      <c r="H160" s="13" t="s">
        <v>14</v>
      </c>
      <c r="I160" s="13" t="s">
        <v>15</v>
      </c>
      <c r="J160" s="13">
        <v>7362</v>
      </c>
      <c r="K160" s="13">
        <v>848</v>
      </c>
      <c r="L160" s="18">
        <v>6242976</v>
      </c>
    </row>
    <row r="161" spans="2:12" x14ac:dyDescent="0.3">
      <c r="B161" s="17" t="s">
        <v>210</v>
      </c>
      <c r="C161" s="26" t="s">
        <v>421</v>
      </c>
      <c r="D161" s="13" t="s">
        <v>30</v>
      </c>
      <c r="E161" s="13" t="s">
        <v>133</v>
      </c>
      <c r="F161" s="13" t="s">
        <v>18</v>
      </c>
      <c r="G161" s="13" t="s">
        <v>19</v>
      </c>
      <c r="H161" s="13" t="s">
        <v>20</v>
      </c>
      <c r="I161" s="13" t="s">
        <v>15</v>
      </c>
      <c r="J161" s="13">
        <v>6176</v>
      </c>
      <c r="K161" s="13">
        <v>639</v>
      </c>
      <c r="L161" s="18">
        <v>3946464</v>
      </c>
    </row>
    <row r="162" spans="2:12" x14ac:dyDescent="0.3">
      <c r="B162" s="17" t="s">
        <v>211</v>
      </c>
      <c r="C162" s="26" t="s">
        <v>421</v>
      </c>
      <c r="D162" s="13" t="s">
        <v>30</v>
      </c>
      <c r="E162" s="13" t="s">
        <v>133</v>
      </c>
      <c r="F162" s="13" t="s">
        <v>22</v>
      </c>
      <c r="G162" s="13" t="s">
        <v>23</v>
      </c>
      <c r="H162" s="13" t="s">
        <v>24</v>
      </c>
      <c r="I162" s="13" t="s">
        <v>15</v>
      </c>
      <c r="J162" s="13">
        <v>6492</v>
      </c>
      <c r="K162" s="13">
        <v>714</v>
      </c>
      <c r="L162" s="18">
        <v>4635288</v>
      </c>
    </row>
    <row r="163" spans="2:12" x14ac:dyDescent="0.3">
      <c r="B163" s="17" t="s">
        <v>212</v>
      </c>
      <c r="C163" s="26" t="s">
        <v>421</v>
      </c>
      <c r="D163" s="13" t="s">
        <v>30</v>
      </c>
      <c r="E163" s="13" t="s">
        <v>133</v>
      </c>
      <c r="F163" s="13" t="s">
        <v>26</v>
      </c>
      <c r="G163" s="13" t="s">
        <v>27</v>
      </c>
      <c r="H163" s="13" t="s">
        <v>28</v>
      </c>
      <c r="I163" s="13" t="s">
        <v>15</v>
      </c>
      <c r="J163" s="13">
        <v>5268</v>
      </c>
      <c r="K163" s="13">
        <v>992</v>
      </c>
      <c r="L163" s="18">
        <v>5225856</v>
      </c>
    </row>
    <row r="164" spans="2:12" x14ac:dyDescent="0.3">
      <c r="B164" s="17" t="s">
        <v>213</v>
      </c>
      <c r="C164" s="26" t="s">
        <v>421</v>
      </c>
      <c r="D164" s="13" t="s">
        <v>30</v>
      </c>
      <c r="E164" s="13" t="s">
        <v>146</v>
      </c>
      <c r="F164" s="13" t="s">
        <v>26</v>
      </c>
      <c r="G164" s="13" t="s">
        <v>32</v>
      </c>
      <c r="H164" s="13" t="s">
        <v>33</v>
      </c>
      <c r="I164" s="13" t="s">
        <v>15</v>
      </c>
      <c r="J164" s="13">
        <v>2613</v>
      </c>
      <c r="K164" s="13">
        <v>910</v>
      </c>
      <c r="L164" s="18">
        <v>2377830</v>
      </c>
    </row>
    <row r="165" spans="2:12" x14ac:dyDescent="0.3">
      <c r="B165" s="17" t="s">
        <v>214</v>
      </c>
      <c r="C165" s="26" t="s">
        <v>421</v>
      </c>
      <c r="D165" s="13" t="s">
        <v>30</v>
      </c>
      <c r="E165" s="13" t="s">
        <v>146</v>
      </c>
      <c r="F165" s="13" t="s">
        <v>26</v>
      </c>
      <c r="G165" s="13" t="s">
        <v>35</v>
      </c>
      <c r="H165" s="13" t="s">
        <v>36</v>
      </c>
      <c r="I165" s="13" t="s">
        <v>45</v>
      </c>
      <c r="J165" s="13">
        <v>3530</v>
      </c>
      <c r="K165" s="13">
        <v>693</v>
      </c>
      <c r="L165" s="18">
        <v>2446290</v>
      </c>
    </row>
    <row r="166" spans="2:12" x14ac:dyDescent="0.3">
      <c r="B166" s="17" t="s">
        <v>215</v>
      </c>
      <c r="C166" s="26" t="s">
        <v>421</v>
      </c>
      <c r="D166" s="13" t="s">
        <v>30</v>
      </c>
      <c r="E166" s="13" t="s">
        <v>146</v>
      </c>
      <c r="F166" s="13" t="s">
        <v>18</v>
      </c>
      <c r="G166" s="13" t="s">
        <v>38</v>
      </c>
      <c r="H166" s="13" t="s">
        <v>39</v>
      </c>
      <c r="I166" s="13" t="s">
        <v>45</v>
      </c>
      <c r="J166" s="13">
        <v>6376</v>
      </c>
      <c r="K166" s="13">
        <v>909</v>
      </c>
      <c r="L166" s="18">
        <v>5795784</v>
      </c>
    </row>
    <row r="167" spans="2:12" x14ac:dyDescent="0.3">
      <c r="B167" s="17" t="s">
        <v>216</v>
      </c>
      <c r="C167" s="26" t="s">
        <v>421</v>
      </c>
      <c r="D167" s="13" t="s">
        <v>158</v>
      </c>
      <c r="E167" s="13" t="s">
        <v>178</v>
      </c>
      <c r="F167" s="13" t="s">
        <v>18</v>
      </c>
      <c r="G167" s="13" t="s">
        <v>41</v>
      </c>
      <c r="H167" s="13" t="s">
        <v>20</v>
      </c>
      <c r="I167" s="13" t="s">
        <v>45</v>
      </c>
      <c r="J167" s="13">
        <v>5087</v>
      </c>
      <c r="K167" s="13">
        <v>555</v>
      </c>
      <c r="L167" s="18">
        <v>2823285</v>
      </c>
    </row>
    <row r="168" spans="2:12" x14ac:dyDescent="0.3">
      <c r="B168" s="17" t="s">
        <v>217</v>
      </c>
      <c r="C168" s="26" t="s">
        <v>421</v>
      </c>
      <c r="D168" s="13" t="s">
        <v>158</v>
      </c>
      <c r="E168" s="13" t="s">
        <v>178</v>
      </c>
      <c r="F168" s="13" t="s">
        <v>13</v>
      </c>
      <c r="G168" s="13" t="s">
        <v>43</v>
      </c>
      <c r="H168" s="13" t="s">
        <v>44</v>
      </c>
      <c r="I168" s="13" t="s">
        <v>45</v>
      </c>
      <c r="J168" s="13">
        <v>8044</v>
      </c>
      <c r="K168" s="13">
        <v>681</v>
      </c>
      <c r="L168" s="18">
        <v>5477964</v>
      </c>
    </row>
    <row r="169" spans="2:12" x14ac:dyDescent="0.3">
      <c r="B169" s="17" t="s">
        <v>218</v>
      </c>
      <c r="C169" s="26" t="s">
        <v>421</v>
      </c>
      <c r="D169" s="13" t="s">
        <v>158</v>
      </c>
      <c r="E169" s="13" t="s">
        <v>178</v>
      </c>
      <c r="F169" s="13" t="s">
        <v>18</v>
      </c>
      <c r="G169" s="13" t="s">
        <v>47</v>
      </c>
      <c r="H169" s="13" t="s">
        <v>39</v>
      </c>
      <c r="I169" s="13" t="s">
        <v>45</v>
      </c>
      <c r="J169" s="13">
        <v>4427</v>
      </c>
      <c r="K169" s="13">
        <v>818</v>
      </c>
      <c r="L169" s="18">
        <v>3621286</v>
      </c>
    </row>
    <row r="170" spans="2:12" x14ac:dyDescent="0.3">
      <c r="B170" s="17" t="s">
        <v>219</v>
      </c>
      <c r="C170" s="26" t="s">
        <v>421</v>
      </c>
      <c r="D170" s="13" t="s">
        <v>158</v>
      </c>
      <c r="E170" s="13" t="s">
        <v>178</v>
      </c>
      <c r="F170" s="13" t="s">
        <v>13</v>
      </c>
      <c r="G170" s="13" t="s">
        <v>49</v>
      </c>
      <c r="H170" s="13" t="s">
        <v>50</v>
      </c>
      <c r="I170" s="13" t="s">
        <v>45</v>
      </c>
      <c r="J170" s="13">
        <v>5689</v>
      </c>
      <c r="K170" s="13">
        <v>827</v>
      </c>
      <c r="L170" s="18">
        <v>4704803</v>
      </c>
    </row>
    <row r="171" spans="2:12" x14ac:dyDescent="0.3">
      <c r="B171" s="17" t="s">
        <v>220</v>
      </c>
      <c r="C171" s="26" t="s">
        <v>421</v>
      </c>
      <c r="D171" s="13" t="s">
        <v>158</v>
      </c>
      <c r="E171" s="13" t="s">
        <v>178</v>
      </c>
      <c r="F171" s="13" t="s">
        <v>13</v>
      </c>
      <c r="G171" s="13" t="s">
        <v>52</v>
      </c>
      <c r="H171" s="13" t="s">
        <v>50</v>
      </c>
      <c r="I171" s="13" t="s">
        <v>45</v>
      </c>
      <c r="J171" s="13">
        <v>2431</v>
      </c>
      <c r="K171" s="13">
        <v>556</v>
      </c>
      <c r="L171" s="18">
        <v>1351636</v>
      </c>
    </row>
    <row r="172" spans="2:12" x14ac:dyDescent="0.3">
      <c r="B172" s="17" t="s">
        <v>221</v>
      </c>
      <c r="C172" s="26" t="s">
        <v>421</v>
      </c>
      <c r="D172" s="13" t="s">
        <v>158</v>
      </c>
      <c r="E172" s="13" t="s">
        <v>178</v>
      </c>
      <c r="F172" s="13" t="s">
        <v>18</v>
      </c>
      <c r="G172" s="13" t="s">
        <v>54</v>
      </c>
      <c r="H172" s="13" t="s">
        <v>20</v>
      </c>
      <c r="I172" s="13" t="s">
        <v>15</v>
      </c>
      <c r="J172" s="13">
        <v>1567</v>
      </c>
      <c r="K172" s="13">
        <v>781</v>
      </c>
      <c r="L172" s="18">
        <v>1223827</v>
      </c>
    </row>
    <row r="173" spans="2:12" x14ac:dyDescent="0.3">
      <c r="B173" s="17" t="s">
        <v>222</v>
      </c>
      <c r="C173" s="26" t="s">
        <v>421</v>
      </c>
      <c r="D173" s="13" t="s">
        <v>158</v>
      </c>
      <c r="E173" s="13" t="s">
        <v>178</v>
      </c>
      <c r="F173" s="13" t="s">
        <v>56</v>
      </c>
      <c r="G173" s="13" t="s">
        <v>57</v>
      </c>
      <c r="H173" s="13" t="s">
        <v>58</v>
      </c>
      <c r="I173" s="13" t="s">
        <v>15</v>
      </c>
      <c r="J173" s="13">
        <v>4760</v>
      </c>
      <c r="K173" s="13">
        <v>578</v>
      </c>
      <c r="L173" s="18">
        <v>2751280</v>
      </c>
    </row>
    <row r="174" spans="2:12" x14ac:dyDescent="0.3">
      <c r="B174" s="17" t="s">
        <v>223</v>
      </c>
      <c r="C174" s="26" t="s">
        <v>421</v>
      </c>
      <c r="D174" s="13" t="s">
        <v>11</v>
      </c>
      <c r="E174" s="13" t="s">
        <v>116</v>
      </c>
      <c r="F174" s="13" t="s">
        <v>18</v>
      </c>
      <c r="G174" s="13" t="s">
        <v>61</v>
      </c>
      <c r="H174" s="13" t="s">
        <v>20</v>
      </c>
      <c r="I174" s="13" t="s">
        <v>15</v>
      </c>
      <c r="J174" s="13">
        <v>2605</v>
      </c>
      <c r="K174" s="13">
        <v>737</v>
      </c>
      <c r="L174" s="18">
        <v>1919885</v>
      </c>
    </row>
    <row r="175" spans="2:12" x14ac:dyDescent="0.3">
      <c r="B175" s="17" t="s">
        <v>224</v>
      </c>
      <c r="C175" s="26" t="s">
        <v>421</v>
      </c>
      <c r="D175" s="13" t="s">
        <v>11</v>
      </c>
      <c r="E175" s="13" t="s">
        <v>116</v>
      </c>
      <c r="F175" s="13" t="s">
        <v>63</v>
      </c>
      <c r="G175" s="13" t="s">
        <v>64</v>
      </c>
      <c r="H175" s="13" t="s">
        <v>64</v>
      </c>
      <c r="I175" s="13" t="s">
        <v>15</v>
      </c>
      <c r="J175" s="13">
        <v>8431</v>
      </c>
      <c r="K175" s="13">
        <v>507</v>
      </c>
      <c r="L175" s="18">
        <v>4274517</v>
      </c>
    </row>
    <row r="176" spans="2:12" x14ac:dyDescent="0.3">
      <c r="B176" s="17" t="s">
        <v>225</v>
      </c>
      <c r="C176" s="26" t="s">
        <v>421</v>
      </c>
      <c r="D176" s="13" t="s">
        <v>11</v>
      </c>
      <c r="E176" s="13" t="s">
        <v>116</v>
      </c>
      <c r="F176" s="13" t="s">
        <v>56</v>
      </c>
      <c r="G176" s="13" t="s">
        <v>66</v>
      </c>
      <c r="H176" s="13" t="s">
        <v>58</v>
      </c>
      <c r="I176" s="13" t="s">
        <v>45</v>
      </c>
      <c r="J176" s="13">
        <v>5487</v>
      </c>
      <c r="K176" s="13">
        <v>879</v>
      </c>
      <c r="L176" s="18">
        <v>4823073</v>
      </c>
    </row>
    <row r="177" spans="2:12" x14ac:dyDescent="0.3">
      <c r="B177" s="17" t="s">
        <v>226</v>
      </c>
      <c r="C177" s="26" t="s">
        <v>421</v>
      </c>
      <c r="D177" s="13" t="s">
        <v>11</v>
      </c>
      <c r="E177" s="13" t="s">
        <v>116</v>
      </c>
      <c r="F177" s="13" t="s">
        <v>26</v>
      </c>
      <c r="G177" s="13" t="s">
        <v>68</v>
      </c>
      <c r="H177" s="13" t="s">
        <v>69</v>
      </c>
      <c r="I177" s="13" t="s">
        <v>15</v>
      </c>
      <c r="J177" s="13">
        <v>3782</v>
      </c>
      <c r="K177" s="13">
        <v>528</v>
      </c>
      <c r="L177" s="18">
        <v>1996896</v>
      </c>
    </row>
    <row r="178" spans="2:12" x14ac:dyDescent="0.3">
      <c r="B178" s="17" t="s">
        <v>227</v>
      </c>
      <c r="C178" s="26" t="s">
        <v>421</v>
      </c>
      <c r="D178" s="13" t="s">
        <v>11</v>
      </c>
      <c r="E178" s="13" t="s">
        <v>116</v>
      </c>
      <c r="F178" s="13" t="s">
        <v>22</v>
      </c>
      <c r="G178" s="13" t="s">
        <v>71</v>
      </c>
      <c r="H178" s="13" t="s">
        <v>72</v>
      </c>
      <c r="I178" s="13" t="s">
        <v>15</v>
      </c>
      <c r="J178" s="13">
        <v>2743</v>
      </c>
      <c r="K178" s="13">
        <v>575</v>
      </c>
      <c r="L178" s="18">
        <v>1577225</v>
      </c>
    </row>
    <row r="179" spans="2:12" x14ac:dyDescent="0.3">
      <c r="B179" s="17" t="s">
        <v>228</v>
      </c>
      <c r="C179" s="26" t="s">
        <v>421</v>
      </c>
      <c r="D179" s="13" t="s">
        <v>11</v>
      </c>
      <c r="E179" s="13" t="s">
        <v>116</v>
      </c>
      <c r="F179" s="13" t="s">
        <v>18</v>
      </c>
      <c r="G179" s="13" t="s">
        <v>74</v>
      </c>
      <c r="H179" s="13" t="s">
        <v>39</v>
      </c>
      <c r="I179" s="13" t="s">
        <v>15</v>
      </c>
      <c r="J179" s="13">
        <v>4239</v>
      </c>
      <c r="K179" s="13">
        <v>922</v>
      </c>
      <c r="L179" s="18">
        <v>3908358</v>
      </c>
    </row>
    <row r="180" spans="2:12" x14ac:dyDescent="0.3">
      <c r="B180" s="17" t="s">
        <v>229</v>
      </c>
      <c r="C180" s="26" t="s">
        <v>421</v>
      </c>
      <c r="D180" s="13" t="s">
        <v>11</v>
      </c>
      <c r="E180" s="13" t="s">
        <v>116</v>
      </c>
      <c r="F180" s="13" t="s">
        <v>13</v>
      </c>
      <c r="G180" s="13" t="s">
        <v>76</v>
      </c>
      <c r="H180" s="13" t="s">
        <v>50</v>
      </c>
      <c r="I180" s="13" t="s">
        <v>15</v>
      </c>
      <c r="J180" s="13">
        <v>7544</v>
      </c>
      <c r="K180" s="13">
        <v>593</v>
      </c>
      <c r="L180" s="18">
        <v>4473592</v>
      </c>
    </row>
    <row r="181" spans="2:12" x14ac:dyDescent="0.3">
      <c r="B181" s="17" t="s">
        <v>230</v>
      </c>
      <c r="C181" s="26" t="s">
        <v>421</v>
      </c>
      <c r="D181" s="13" t="s">
        <v>11</v>
      </c>
      <c r="E181" s="13" t="s">
        <v>116</v>
      </c>
      <c r="F181" s="13" t="s">
        <v>13</v>
      </c>
      <c r="G181" s="13" t="s">
        <v>79</v>
      </c>
      <c r="H181" s="13" t="s">
        <v>50</v>
      </c>
      <c r="I181" s="13" t="s">
        <v>45</v>
      </c>
      <c r="J181" s="13">
        <v>3400</v>
      </c>
      <c r="K181" s="13">
        <v>948</v>
      </c>
      <c r="L181" s="18">
        <v>3223200</v>
      </c>
    </row>
    <row r="182" spans="2:12" x14ac:dyDescent="0.3">
      <c r="B182" s="17" t="s">
        <v>231</v>
      </c>
      <c r="C182" s="26" t="s">
        <v>421</v>
      </c>
      <c r="D182" s="13" t="s">
        <v>11</v>
      </c>
      <c r="E182" s="13" t="s">
        <v>116</v>
      </c>
      <c r="F182" s="13" t="s">
        <v>26</v>
      </c>
      <c r="G182" s="13" t="s">
        <v>81</v>
      </c>
      <c r="H182" s="13" t="s">
        <v>28</v>
      </c>
      <c r="I182" s="13" t="s">
        <v>45</v>
      </c>
      <c r="J182" s="13">
        <v>1964</v>
      </c>
      <c r="K182" s="13">
        <v>787</v>
      </c>
      <c r="L182" s="18">
        <v>1545668</v>
      </c>
    </row>
    <row r="183" spans="2:12" x14ac:dyDescent="0.3">
      <c r="B183" s="17" t="s">
        <v>232</v>
      </c>
      <c r="C183" s="26" t="s">
        <v>421</v>
      </c>
      <c r="D183" s="13" t="s">
        <v>11</v>
      </c>
      <c r="E183" s="13" t="s">
        <v>116</v>
      </c>
      <c r="F183" s="13" t="s">
        <v>26</v>
      </c>
      <c r="G183" s="13" t="s">
        <v>83</v>
      </c>
      <c r="H183" s="13" t="s">
        <v>28</v>
      </c>
      <c r="I183" s="13" t="s">
        <v>45</v>
      </c>
      <c r="J183" s="13">
        <v>4945</v>
      </c>
      <c r="K183" s="13">
        <v>938</v>
      </c>
      <c r="L183" s="18">
        <v>4638410</v>
      </c>
    </row>
    <row r="184" spans="2:12" x14ac:dyDescent="0.3">
      <c r="B184" s="17" t="s">
        <v>233</v>
      </c>
      <c r="C184" s="26" t="s">
        <v>421</v>
      </c>
      <c r="D184" s="13" t="s">
        <v>11</v>
      </c>
      <c r="E184" s="13" t="s">
        <v>116</v>
      </c>
      <c r="F184" s="13" t="s">
        <v>13</v>
      </c>
      <c r="G184" s="13" t="s">
        <v>85</v>
      </c>
      <c r="H184" s="13" t="s">
        <v>44</v>
      </c>
      <c r="I184" s="13" t="s">
        <v>45</v>
      </c>
      <c r="J184" s="13">
        <v>5530</v>
      </c>
      <c r="K184" s="13">
        <v>777</v>
      </c>
      <c r="L184" s="18">
        <v>4296810</v>
      </c>
    </row>
    <row r="185" spans="2:12" x14ac:dyDescent="0.3">
      <c r="B185" s="17" t="s">
        <v>234</v>
      </c>
      <c r="C185" s="26" t="s">
        <v>422</v>
      </c>
      <c r="D185" s="13" t="s">
        <v>30</v>
      </c>
      <c r="E185" s="13" t="s">
        <v>133</v>
      </c>
      <c r="F185" s="13" t="s">
        <v>13</v>
      </c>
      <c r="G185" s="13" t="s">
        <v>87</v>
      </c>
      <c r="H185" s="13" t="s">
        <v>50</v>
      </c>
      <c r="I185" s="13" t="s">
        <v>45</v>
      </c>
      <c r="J185" s="13">
        <v>4862</v>
      </c>
      <c r="K185" s="13">
        <v>954</v>
      </c>
      <c r="L185" s="18">
        <v>4638348</v>
      </c>
    </row>
    <row r="186" spans="2:12" x14ac:dyDescent="0.3">
      <c r="B186" s="17" t="s">
        <v>235</v>
      </c>
      <c r="C186" s="26" t="s">
        <v>422</v>
      </c>
      <c r="D186" s="13" t="s">
        <v>30</v>
      </c>
      <c r="E186" s="13" t="s">
        <v>133</v>
      </c>
      <c r="F186" s="13" t="s">
        <v>22</v>
      </c>
      <c r="G186" s="13" t="s">
        <v>89</v>
      </c>
      <c r="H186" s="13" t="s">
        <v>90</v>
      </c>
      <c r="I186" s="13" t="s">
        <v>45</v>
      </c>
      <c r="J186" s="13">
        <v>9354</v>
      </c>
      <c r="K186" s="13">
        <v>899</v>
      </c>
      <c r="L186" s="18">
        <v>8409246</v>
      </c>
    </row>
    <row r="187" spans="2:12" x14ac:dyDescent="0.3">
      <c r="B187" s="17" t="s">
        <v>236</v>
      </c>
      <c r="C187" s="26" t="s">
        <v>422</v>
      </c>
      <c r="D187" s="13" t="s">
        <v>30</v>
      </c>
      <c r="E187" s="13" t="s">
        <v>133</v>
      </c>
      <c r="F187" s="13" t="s">
        <v>26</v>
      </c>
      <c r="G187" s="13" t="s">
        <v>92</v>
      </c>
      <c r="H187" s="13" t="s">
        <v>93</v>
      </c>
      <c r="I187" s="13" t="s">
        <v>45</v>
      </c>
      <c r="J187" s="13">
        <v>4121</v>
      </c>
      <c r="K187" s="13">
        <v>904</v>
      </c>
      <c r="L187" s="18">
        <v>3725384</v>
      </c>
    </row>
    <row r="188" spans="2:12" x14ac:dyDescent="0.3">
      <c r="B188" s="17" t="s">
        <v>237</v>
      </c>
      <c r="C188" s="26" t="s">
        <v>422</v>
      </c>
      <c r="D188" s="13" t="s">
        <v>30</v>
      </c>
      <c r="E188" s="13" t="s">
        <v>133</v>
      </c>
      <c r="F188" s="13" t="s">
        <v>18</v>
      </c>
      <c r="G188" s="13" t="s">
        <v>95</v>
      </c>
      <c r="H188" s="13" t="s">
        <v>20</v>
      </c>
      <c r="I188" s="13" t="s">
        <v>45</v>
      </c>
      <c r="J188" s="13">
        <v>9914</v>
      </c>
      <c r="K188" s="13">
        <v>615</v>
      </c>
      <c r="L188" s="18">
        <v>6097110</v>
      </c>
    </row>
    <row r="189" spans="2:12" x14ac:dyDescent="0.3">
      <c r="B189" s="17" t="s">
        <v>238</v>
      </c>
      <c r="C189" s="26" t="s">
        <v>422</v>
      </c>
      <c r="D189" s="13" t="s">
        <v>30</v>
      </c>
      <c r="E189" s="13" t="s">
        <v>133</v>
      </c>
      <c r="F189" s="13" t="s">
        <v>13</v>
      </c>
      <c r="G189" s="13" t="s">
        <v>97</v>
      </c>
      <c r="H189" s="13" t="s">
        <v>98</v>
      </c>
      <c r="I189" s="13" t="s">
        <v>45</v>
      </c>
      <c r="J189" s="13">
        <v>2904</v>
      </c>
      <c r="K189" s="13">
        <v>997</v>
      </c>
      <c r="L189" s="18">
        <v>2895288</v>
      </c>
    </row>
    <row r="190" spans="2:12" x14ac:dyDescent="0.3">
      <c r="B190" s="17" t="s">
        <v>239</v>
      </c>
      <c r="C190" s="26" t="s">
        <v>422</v>
      </c>
      <c r="D190" s="13" t="s">
        <v>30</v>
      </c>
      <c r="E190" s="13" t="s">
        <v>133</v>
      </c>
      <c r="F190" s="13" t="s">
        <v>13</v>
      </c>
      <c r="G190" s="13" t="s">
        <v>100</v>
      </c>
      <c r="H190" s="13" t="s">
        <v>101</v>
      </c>
      <c r="I190" s="13" t="s">
        <v>45</v>
      </c>
      <c r="J190" s="13">
        <v>9981</v>
      </c>
      <c r="K190" s="13">
        <v>833</v>
      </c>
      <c r="L190" s="18">
        <v>8314173</v>
      </c>
    </row>
    <row r="191" spans="2:12" x14ac:dyDescent="0.3">
      <c r="B191" s="17" t="s">
        <v>240</v>
      </c>
      <c r="C191" s="26" t="s">
        <v>422</v>
      </c>
      <c r="D191" s="13" t="s">
        <v>30</v>
      </c>
      <c r="E191" s="13" t="s">
        <v>133</v>
      </c>
      <c r="F191" s="13" t="s">
        <v>103</v>
      </c>
      <c r="G191" s="13" t="s">
        <v>104</v>
      </c>
      <c r="H191" s="13" t="s">
        <v>105</v>
      </c>
      <c r="I191" s="13" t="s">
        <v>15</v>
      </c>
      <c r="J191" s="13">
        <v>3876</v>
      </c>
      <c r="K191" s="13">
        <v>861</v>
      </c>
      <c r="L191" s="18">
        <v>3337236</v>
      </c>
    </row>
    <row r="192" spans="2:12" x14ac:dyDescent="0.3">
      <c r="B192" s="17" t="s">
        <v>241</v>
      </c>
      <c r="C192" s="26" t="s">
        <v>422</v>
      </c>
      <c r="D192" s="13" t="s">
        <v>30</v>
      </c>
      <c r="E192" s="13" t="s">
        <v>133</v>
      </c>
      <c r="F192" s="13" t="s">
        <v>13</v>
      </c>
      <c r="G192" s="13" t="s">
        <v>107</v>
      </c>
      <c r="H192" s="13" t="s">
        <v>108</v>
      </c>
      <c r="I192" s="13" t="s">
        <v>15</v>
      </c>
      <c r="J192" s="13">
        <v>8887</v>
      </c>
      <c r="K192" s="13">
        <v>717</v>
      </c>
      <c r="L192" s="18">
        <v>6371979</v>
      </c>
    </row>
    <row r="193" spans="2:12" x14ac:dyDescent="0.3">
      <c r="B193" s="17" t="s">
        <v>242</v>
      </c>
      <c r="C193" s="26" t="s">
        <v>422</v>
      </c>
      <c r="D193" s="13" t="s">
        <v>30</v>
      </c>
      <c r="E193" s="13" t="s">
        <v>133</v>
      </c>
      <c r="F193" s="13" t="s">
        <v>56</v>
      </c>
      <c r="G193" s="13" t="s">
        <v>110</v>
      </c>
      <c r="H193" s="13" t="s">
        <v>111</v>
      </c>
      <c r="I193" s="13" t="s">
        <v>15</v>
      </c>
      <c r="J193" s="13">
        <v>3673</v>
      </c>
      <c r="K193" s="13">
        <v>619</v>
      </c>
      <c r="L193" s="18">
        <v>2273587</v>
      </c>
    </row>
    <row r="194" spans="2:12" x14ac:dyDescent="0.3">
      <c r="B194" s="17" t="s">
        <v>243</v>
      </c>
      <c r="C194" s="26" t="s">
        <v>422</v>
      </c>
      <c r="D194" s="13" t="s">
        <v>30</v>
      </c>
      <c r="E194" s="13" t="s">
        <v>146</v>
      </c>
      <c r="F194" s="13" t="s">
        <v>22</v>
      </c>
      <c r="G194" s="13" t="s">
        <v>113</v>
      </c>
      <c r="H194" s="13" t="s">
        <v>24</v>
      </c>
      <c r="I194" s="13" t="s">
        <v>15</v>
      </c>
      <c r="J194" s="13">
        <v>7588</v>
      </c>
      <c r="K194" s="13">
        <v>607</v>
      </c>
      <c r="L194" s="18">
        <v>4605916</v>
      </c>
    </row>
    <row r="195" spans="2:12" x14ac:dyDescent="0.3">
      <c r="B195" s="17" t="s">
        <v>244</v>
      </c>
      <c r="C195" s="26" t="s">
        <v>422</v>
      </c>
      <c r="D195" s="13" t="s">
        <v>30</v>
      </c>
      <c r="E195" s="13" t="s">
        <v>146</v>
      </c>
      <c r="F195" s="13" t="s">
        <v>22</v>
      </c>
      <c r="G195" s="13" t="s">
        <v>23</v>
      </c>
      <c r="H195" s="13" t="s">
        <v>24</v>
      </c>
      <c r="I195" s="13" t="s">
        <v>15</v>
      </c>
      <c r="J195" s="13">
        <v>5137</v>
      </c>
      <c r="K195" s="13">
        <v>690</v>
      </c>
      <c r="L195" s="18">
        <v>3544530</v>
      </c>
    </row>
    <row r="196" spans="2:12" x14ac:dyDescent="0.3">
      <c r="B196" s="17" t="s">
        <v>245</v>
      </c>
      <c r="C196" s="26" t="s">
        <v>422</v>
      </c>
      <c r="D196" s="13" t="s">
        <v>30</v>
      </c>
      <c r="E196" s="13" t="s">
        <v>146</v>
      </c>
      <c r="F196" s="13" t="s">
        <v>56</v>
      </c>
      <c r="G196" s="13" t="s">
        <v>117</v>
      </c>
      <c r="H196" s="13" t="s">
        <v>58</v>
      </c>
      <c r="I196" s="13" t="s">
        <v>45</v>
      </c>
      <c r="J196" s="13">
        <v>5813</v>
      </c>
      <c r="K196" s="13">
        <v>673</v>
      </c>
      <c r="L196" s="18">
        <v>3912149</v>
      </c>
    </row>
    <row r="197" spans="2:12" x14ac:dyDescent="0.3">
      <c r="B197" s="17" t="s">
        <v>246</v>
      </c>
      <c r="C197" s="26" t="s">
        <v>422</v>
      </c>
      <c r="D197" s="13" t="s">
        <v>30</v>
      </c>
      <c r="E197" s="13" t="s">
        <v>146</v>
      </c>
      <c r="F197" s="13" t="s">
        <v>22</v>
      </c>
      <c r="G197" s="13" t="s">
        <v>119</v>
      </c>
      <c r="H197" s="13" t="s">
        <v>90</v>
      </c>
      <c r="I197" s="13" t="s">
        <v>45</v>
      </c>
      <c r="J197" s="13">
        <v>7330</v>
      </c>
      <c r="K197" s="13">
        <v>599</v>
      </c>
      <c r="L197" s="18">
        <v>4390670</v>
      </c>
    </row>
    <row r="198" spans="2:12" x14ac:dyDescent="0.3">
      <c r="B198" s="17" t="s">
        <v>247</v>
      </c>
      <c r="C198" s="26" t="s">
        <v>422</v>
      </c>
      <c r="D198" s="13" t="s">
        <v>30</v>
      </c>
      <c r="E198" s="13" t="s">
        <v>146</v>
      </c>
      <c r="F198" s="13" t="s">
        <v>22</v>
      </c>
      <c r="G198" s="13" t="s">
        <v>121</v>
      </c>
      <c r="H198" s="13" t="s">
        <v>24</v>
      </c>
      <c r="I198" s="13" t="s">
        <v>45</v>
      </c>
      <c r="J198" s="13">
        <v>8139</v>
      </c>
      <c r="K198" s="13">
        <v>655</v>
      </c>
      <c r="L198" s="18">
        <v>5331045</v>
      </c>
    </row>
    <row r="199" spans="2:12" x14ac:dyDescent="0.3">
      <c r="B199" s="17" t="s">
        <v>248</v>
      </c>
      <c r="C199" s="26" t="s">
        <v>422</v>
      </c>
      <c r="D199" s="13" t="s">
        <v>30</v>
      </c>
      <c r="E199" s="13" t="s">
        <v>146</v>
      </c>
      <c r="F199" s="13" t="s">
        <v>26</v>
      </c>
      <c r="G199" s="13" t="s">
        <v>123</v>
      </c>
      <c r="H199" s="13" t="s">
        <v>33</v>
      </c>
      <c r="I199" s="13" t="s">
        <v>15</v>
      </c>
      <c r="J199" s="13">
        <v>8203</v>
      </c>
      <c r="K199" s="13">
        <v>918</v>
      </c>
      <c r="L199" s="18">
        <v>7530354</v>
      </c>
    </row>
    <row r="200" spans="2:12" x14ac:dyDescent="0.3">
      <c r="B200" s="17" t="s">
        <v>249</v>
      </c>
      <c r="C200" s="26" t="s">
        <v>422</v>
      </c>
      <c r="D200" s="13" t="s">
        <v>158</v>
      </c>
      <c r="E200" s="13" t="s">
        <v>178</v>
      </c>
      <c r="F200" s="13" t="s">
        <v>13</v>
      </c>
      <c r="G200" s="13" t="s">
        <v>14</v>
      </c>
      <c r="H200" s="13" t="s">
        <v>14</v>
      </c>
      <c r="I200" s="13" t="s">
        <v>15</v>
      </c>
      <c r="J200" s="13">
        <v>1918</v>
      </c>
      <c r="K200" s="13">
        <v>866</v>
      </c>
      <c r="L200" s="18">
        <v>1660988</v>
      </c>
    </row>
    <row r="201" spans="2:12" x14ac:dyDescent="0.3">
      <c r="B201" s="17" t="s">
        <v>250</v>
      </c>
      <c r="C201" s="26" t="s">
        <v>422</v>
      </c>
      <c r="D201" s="13" t="s">
        <v>158</v>
      </c>
      <c r="E201" s="13" t="s">
        <v>178</v>
      </c>
      <c r="F201" s="13" t="s">
        <v>18</v>
      </c>
      <c r="G201" s="13" t="s">
        <v>19</v>
      </c>
      <c r="H201" s="13" t="s">
        <v>20</v>
      </c>
      <c r="I201" s="13" t="s">
        <v>15</v>
      </c>
      <c r="J201" s="13">
        <v>7692</v>
      </c>
      <c r="K201" s="13">
        <v>958</v>
      </c>
      <c r="L201" s="18">
        <v>7368936</v>
      </c>
    </row>
    <row r="202" spans="2:12" x14ac:dyDescent="0.3">
      <c r="B202" s="17" t="s">
        <v>251</v>
      </c>
      <c r="C202" s="26" t="s">
        <v>422</v>
      </c>
      <c r="D202" s="13" t="s">
        <v>158</v>
      </c>
      <c r="E202" s="13" t="s">
        <v>178</v>
      </c>
      <c r="F202" s="13" t="s">
        <v>22</v>
      </c>
      <c r="G202" s="13" t="s">
        <v>23</v>
      </c>
      <c r="H202" s="13" t="s">
        <v>24</v>
      </c>
      <c r="I202" s="13" t="s">
        <v>15</v>
      </c>
      <c r="J202" s="13">
        <v>8066</v>
      </c>
      <c r="K202" s="13">
        <v>985</v>
      </c>
      <c r="L202" s="18">
        <v>7945010</v>
      </c>
    </row>
    <row r="203" spans="2:12" x14ac:dyDescent="0.3">
      <c r="B203" s="17" t="s">
        <v>252</v>
      </c>
      <c r="C203" s="26" t="s">
        <v>422</v>
      </c>
      <c r="D203" s="13" t="s">
        <v>158</v>
      </c>
      <c r="E203" s="13" t="s">
        <v>178</v>
      </c>
      <c r="F203" s="13" t="s">
        <v>26</v>
      </c>
      <c r="G203" s="13" t="s">
        <v>27</v>
      </c>
      <c r="H203" s="13" t="s">
        <v>28</v>
      </c>
      <c r="I203" s="13" t="s">
        <v>15</v>
      </c>
      <c r="J203" s="13">
        <v>5931</v>
      </c>
      <c r="K203" s="13">
        <v>652</v>
      </c>
      <c r="L203" s="18">
        <v>3867012</v>
      </c>
    </row>
    <row r="204" spans="2:12" x14ac:dyDescent="0.3">
      <c r="B204" s="17" t="s">
        <v>253</v>
      </c>
      <c r="C204" s="26" t="s">
        <v>422</v>
      </c>
      <c r="D204" s="13" t="s">
        <v>158</v>
      </c>
      <c r="E204" s="13" t="s">
        <v>178</v>
      </c>
      <c r="F204" s="13" t="s">
        <v>26</v>
      </c>
      <c r="G204" s="13" t="s">
        <v>32</v>
      </c>
      <c r="H204" s="13" t="s">
        <v>33</v>
      </c>
      <c r="I204" s="13" t="s">
        <v>45</v>
      </c>
      <c r="J204" s="13">
        <v>5555</v>
      </c>
      <c r="K204" s="13">
        <v>506</v>
      </c>
      <c r="L204" s="18">
        <v>2810830</v>
      </c>
    </row>
    <row r="205" spans="2:12" x14ac:dyDescent="0.3">
      <c r="B205" s="17" t="s">
        <v>254</v>
      </c>
      <c r="C205" s="26" t="s">
        <v>422</v>
      </c>
      <c r="D205" s="13" t="s">
        <v>158</v>
      </c>
      <c r="E205" s="13" t="s">
        <v>178</v>
      </c>
      <c r="F205" s="13" t="s">
        <v>26</v>
      </c>
      <c r="G205" s="13" t="s">
        <v>35</v>
      </c>
      <c r="H205" s="13" t="s">
        <v>36</v>
      </c>
      <c r="I205" s="13" t="s">
        <v>45</v>
      </c>
      <c r="J205" s="13">
        <v>7543</v>
      </c>
      <c r="K205" s="13">
        <v>815</v>
      </c>
      <c r="L205" s="18">
        <v>6147545</v>
      </c>
    </row>
    <row r="206" spans="2:12" x14ac:dyDescent="0.3">
      <c r="B206" s="17" t="s">
        <v>255</v>
      </c>
      <c r="C206" s="26" t="s">
        <v>422</v>
      </c>
      <c r="D206" s="13" t="s">
        <v>158</v>
      </c>
      <c r="E206" s="13" t="s">
        <v>178</v>
      </c>
      <c r="F206" s="13" t="s">
        <v>18</v>
      </c>
      <c r="G206" s="13" t="s">
        <v>38</v>
      </c>
      <c r="H206" s="13" t="s">
        <v>39</v>
      </c>
      <c r="I206" s="13" t="s">
        <v>45</v>
      </c>
      <c r="J206" s="13">
        <v>7725</v>
      </c>
      <c r="K206" s="13">
        <v>964</v>
      </c>
      <c r="L206" s="18">
        <v>7446900</v>
      </c>
    </row>
    <row r="207" spans="2:12" x14ac:dyDescent="0.3">
      <c r="B207" s="17" t="s">
        <v>256</v>
      </c>
      <c r="C207" s="26" t="s">
        <v>422</v>
      </c>
      <c r="D207" s="13" t="s">
        <v>158</v>
      </c>
      <c r="E207" s="13" t="s">
        <v>178</v>
      </c>
      <c r="F207" s="13" t="s">
        <v>18</v>
      </c>
      <c r="G207" s="13" t="s">
        <v>41</v>
      </c>
      <c r="H207" s="13" t="s">
        <v>20</v>
      </c>
      <c r="I207" s="13" t="s">
        <v>45</v>
      </c>
      <c r="J207" s="13">
        <v>7125</v>
      </c>
      <c r="K207" s="13">
        <v>720</v>
      </c>
      <c r="L207" s="18">
        <v>5130000</v>
      </c>
    </row>
    <row r="208" spans="2:12" x14ac:dyDescent="0.3">
      <c r="B208" s="17" t="s">
        <v>257</v>
      </c>
      <c r="C208" s="26" t="s">
        <v>422</v>
      </c>
      <c r="D208" s="13" t="s">
        <v>158</v>
      </c>
      <c r="E208" s="13" t="s">
        <v>178</v>
      </c>
      <c r="F208" s="13" t="s">
        <v>13</v>
      </c>
      <c r="G208" s="13" t="s">
        <v>43</v>
      </c>
      <c r="H208" s="13" t="s">
        <v>44</v>
      </c>
      <c r="I208" s="13" t="s">
        <v>45</v>
      </c>
      <c r="J208" s="13">
        <v>1784</v>
      </c>
      <c r="K208" s="13">
        <v>820</v>
      </c>
      <c r="L208" s="18">
        <v>1462880</v>
      </c>
    </row>
    <row r="209" spans="2:12" x14ac:dyDescent="0.3">
      <c r="B209" s="17" t="s">
        <v>258</v>
      </c>
      <c r="C209" s="26" t="s">
        <v>422</v>
      </c>
      <c r="D209" s="13" t="s">
        <v>158</v>
      </c>
      <c r="E209" s="13" t="s">
        <v>178</v>
      </c>
      <c r="F209" s="13" t="s">
        <v>18</v>
      </c>
      <c r="G209" s="13" t="s">
        <v>47</v>
      </c>
      <c r="H209" s="13" t="s">
        <v>39</v>
      </c>
      <c r="I209" s="13" t="s">
        <v>45</v>
      </c>
      <c r="J209" s="13">
        <v>6571</v>
      </c>
      <c r="K209" s="13">
        <v>799</v>
      </c>
      <c r="L209" s="18">
        <v>5250229</v>
      </c>
    </row>
    <row r="210" spans="2:12" x14ac:dyDescent="0.3">
      <c r="B210" s="17" t="s">
        <v>259</v>
      </c>
      <c r="C210" s="26" t="s">
        <v>422</v>
      </c>
      <c r="D210" s="13" t="s">
        <v>158</v>
      </c>
      <c r="E210" s="13" t="s">
        <v>178</v>
      </c>
      <c r="F210" s="13" t="s">
        <v>13</v>
      </c>
      <c r="G210" s="13" t="s">
        <v>49</v>
      </c>
      <c r="H210" s="13" t="s">
        <v>50</v>
      </c>
      <c r="I210" s="13" t="s">
        <v>45</v>
      </c>
      <c r="J210" s="13">
        <v>6742</v>
      </c>
      <c r="K210" s="13">
        <v>544</v>
      </c>
      <c r="L210" s="18">
        <v>3667648</v>
      </c>
    </row>
    <row r="211" spans="2:12" x14ac:dyDescent="0.3">
      <c r="B211" s="17" t="s">
        <v>260</v>
      </c>
      <c r="C211" s="26" t="s">
        <v>422</v>
      </c>
      <c r="D211" s="13" t="s">
        <v>158</v>
      </c>
      <c r="E211" s="13" t="s">
        <v>178</v>
      </c>
      <c r="F211" s="13" t="s">
        <v>13</v>
      </c>
      <c r="G211" s="13" t="s">
        <v>52</v>
      </c>
      <c r="H211" s="13" t="s">
        <v>50</v>
      </c>
      <c r="I211" s="13" t="s">
        <v>15</v>
      </c>
      <c r="J211" s="13">
        <v>7493</v>
      </c>
      <c r="K211" s="13">
        <v>704</v>
      </c>
      <c r="L211" s="18">
        <v>5275072</v>
      </c>
    </row>
    <row r="212" spans="2:12" x14ac:dyDescent="0.3">
      <c r="B212" s="17" t="s">
        <v>261</v>
      </c>
      <c r="C212" s="26" t="s">
        <v>422</v>
      </c>
      <c r="D212" s="13" t="s">
        <v>30</v>
      </c>
      <c r="E212" s="13" t="s">
        <v>146</v>
      </c>
      <c r="F212" s="13" t="s">
        <v>18</v>
      </c>
      <c r="G212" s="13" t="s">
        <v>54</v>
      </c>
      <c r="H212" s="13" t="s">
        <v>20</v>
      </c>
      <c r="I212" s="13" t="s">
        <v>15</v>
      </c>
      <c r="J212" s="13">
        <v>2130</v>
      </c>
      <c r="K212" s="13">
        <v>800</v>
      </c>
      <c r="L212" s="18">
        <v>1704000</v>
      </c>
    </row>
    <row r="213" spans="2:12" x14ac:dyDescent="0.3">
      <c r="B213" s="17" t="s">
        <v>262</v>
      </c>
      <c r="C213" s="26" t="s">
        <v>422</v>
      </c>
      <c r="D213" s="13" t="s">
        <v>30</v>
      </c>
      <c r="E213" s="13" t="s">
        <v>146</v>
      </c>
      <c r="F213" s="13" t="s">
        <v>56</v>
      </c>
      <c r="G213" s="13" t="s">
        <v>57</v>
      </c>
      <c r="H213" s="13" t="s">
        <v>58</v>
      </c>
      <c r="I213" s="13" t="s">
        <v>15</v>
      </c>
      <c r="J213" s="13">
        <v>4543</v>
      </c>
      <c r="K213" s="13">
        <v>785</v>
      </c>
      <c r="L213" s="18">
        <v>3566255</v>
      </c>
    </row>
    <row r="214" spans="2:12" x14ac:dyDescent="0.3">
      <c r="B214" s="17" t="s">
        <v>263</v>
      </c>
      <c r="C214" s="26" t="s">
        <v>422</v>
      </c>
      <c r="D214" s="13" t="s">
        <v>30</v>
      </c>
      <c r="E214" s="13" t="s">
        <v>146</v>
      </c>
      <c r="F214" s="13" t="s">
        <v>18</v>
      </c>
      <c r="G214" s="13" t="s">
        <v>61</v>
      </c>
      <c r="H214" s="13" t="s">
        <v>20</v>
      </c>
      <c r="I214" s="13" t="s">
        <v>15</v>
      </c>
      <c r="J214" s="13">
        <v>6128</v>
      </c>
      <c r="K214" s="13">
        <v>944</v>
      </c>
      <c r="L214" s="18">
        <v>5784832</v>
      </c>
    </row>
    <row r="215" spans="2:12" x14ac:dyDescent="0.3">
      <c r="B215" s="17" t="s">
        <v>264</v>
      </c>
      <c r="C215" s="26" t="s">
        <v>422</v>
      </c>
      <c r="D215" s="13" t="s">
        <v>30</v>
      </c>
      <c r="E215" s="13" t="s">
        <v>146</v>
      </c>
      <c r="F215" s="13" t="s">
        <v>63</v>
      </c>
      <c r="G215" s="13" t="s">
        <v>64</v>
      </c>
      <c r="H215" s="13" t="s">
        <v>64</v>
      </c>
      <c r="I215" s="13" t="s">
        <v>45</v>
      </c>
      <c r="J215" s="13">
        <v>6210</v>
      </c>
      <c r="K215" s="13">
        <v>638</v>
      </c>
      <c r="L215" s="18">
        <v>3961980</v>
      </c>
    </row>
    <row r="216" spans="2:12" x14ac:dyDescent="0.3">
      <c r="B216" s="17" t="s">
        <v>265</v>
      </c>
      <c r="C216" s="26" t="s">
        <v>422</v>
      </c>
      <c r="D216" s="13" t="s">
        <v>30</v>
      </c>
      <c r="E216" s="13" t="s">
        <v>146</v>
      </c>
      <c r="F216" s="13" t="s">
        <v>56</v>
      </c>
      <c r="G216" s="13" t="s">
        <v>66</v>
      </c>
      <c r="H216" s="13" t="s">
        <v>58</v>
      </c>
      <c r="I216" s="13" t="s">
        <v>15</v>
      </c>
      <c r="J216" s="13">
        <v>8028</v>
      </c>
      <c r="K216" s="13">
        <v>949</v>
      </c>
      <c r="L216" s="18">
        <v>7618572</v>
      </c>
    </row>
    <row r="217" spans="2:12" x14ac:dyDescent="0.3">
      <c r="B217" s="17" t="s">
        <v>266</v>
      </c>
      <c r="C217" s="26" t="s">
        <v>422</v>
      </c>
      <c r="D217" s="13" t="s">
        <v>30</v>
      </c>
      <c r="E217" s="13" t="s">
        <v>146</v>
      </c>
      <c r="F217" s="13" t="s">
        <v>26</v>
      </c>
      <c r="G217" s="13" t="s">
        <v>68</v>
      </c>
      <c r="H217" s="13" t="s">
        <v>69</v>
      </c>
      <c r="I217" s="13" t="s">
        <v>15</v>
      </c>
      <c r="J217" s="13">
        <v>2734</v>
      </c>
      <c r="K217" s="13">
        <v>530</v>
      </c>
      <c r="L217" s="18">
        <v>1449020</v>
      </c>
    </row>
    <row r="218" spans="2:12" x14ac:dyDescent="0.3">
      <c r="B218" s="17" t="s">
        <v>267</v>
      </c>
      <c r="C218" s="26" t="s">
        <v>422</v>
      </c>
      <c r="D218" s="13" t="s">
        <v>30</v>
      </c>
      <c r="E218" s="13" t="s">
        <v>146</v>
      </c>
      <c r="F218" s="13" t="s">
        <v>22</v>
      </c>
      <c r="G218" s="13" t="s">
        <v>71</v>
      </c>
      <c r="H218" s="13" t="s">
        <v>72</v>
      </c>
      <c r="I218" s="13" t="s">
        <v>15</v>
      </c>
      <c r="J218" s="13">
        <v>2144</v>
      </c>
      <c r="K218" s="13">
        <v>505</v>
      </c>
      <c r="L218" s="18">
        <v>1082720</v>
      </c>
    </row>
    <row r="219" spans="2:12" x14ac:dyDescent="0.3">
      <c r="B219" s="17" t="s">
        <v>268</v>
      </c>
      <c r="C219" s="26" t="s">
        <v>422</v>
      </c>
      <c r="D219" s="13" t="s">
        <v>158</v>
      </c>
      <c r="E219" s="13" t="s">
        <v>159</v>
      </c>
      <c r="F219" s="13" t="s">
        <v>18</v>
      </c>
      <c r="G219" s="13" t="s">
        <v>74</v>
      </c>
      <c r="H219" s="13" t="s">
        <v>39</v>
      </c>
      <c r="I219" s="13" t="s">
        <v>15</v>
      </c>
      <c r="J219" s="13">
        <v>4799</v>
      </c>
      <c r="K219" s="13">
        <v>769</v>
      </c>
      <c r="L219" s="18">
        <v>3690431</v>
      </c>
    </row>
    <row r="220" spans="2:12" x14ac:dyDescent="0.3">
      <c r="B220" s="17" t="s">
        <v>269</v>
      </c>
      <c r="C220" s="26" t="s">
        <v>422</v>
      </c>
      <c r="D220" s="13" t="s">
        <v>158</v>
      </c>
      <c r="E220" s="13" t="s">
        <v>159</v>
      </c>
      <c r="F220" s="13" t="s">
        <v>13</v>
      </c>
      <c r="G220" s="13" t="s">
        <v>76</v>
      </c>
      <c r="H220" s="13" t="s">
        <v>50</v>
      </c>
      <c r="I220" s="13" t="s">
        <v>45</v>
      </c>
      <c r="J220" s="13">
        <v>4448</v>
      </c>
      <c r="K220" s="13">
        <v>924</v>
      </c>
      <c r="L220" s="18">
        <v>4109952</v>
      </c>
    </row>
    <row r="221" spans="2:12" x14ac:dyDescent="0.3">
      <c r="B221" s="17" t="s">
        <v>270</v>
      </c>
      <c r="C221" s="26" t="s">
        <v>422</v>
      </c>
      <c r="D221" s="13" t="s">
        <v>158</v>
      </c>
      <c r="E221" s="13" t="s">
        <v>159</v>
      </c>
      <c r="F221" s="13" t="s">
        <v>13</v>
      </c>
      <c r="G221" s="13" t="s">
        <v>79</v>
      </c>
      <c r="H221" s="13" t="s">
        <v>50</v>
      </c>
      <c r="I221" s="13" t="s">
        <v>45</v>
      </c>
      <c r="J221" s="13">
        <v>9290</v>
      </c>
      <c r="K221" s="13">
        <v>602</v>
      </c>
      <c r="L221" s="18">
        <v>5592580</v>
      </c>
    </row>
    <row r="222" spans="2:12" x14ac:dyDescent="0.3">
      <c r="B222" s="17" t="s">
        <v>271</v>
      </c>
      <c r="C222" s="26" t="s">
        <v>422</v>
      </c>
      <c r="D222" s="13" t="s">
        <v>158</v>
      </c>
      <c r="E222" s="13" t="s">
        <v>159</v>
      </c>
      <c r="F222" s="13" t="s">
        <v>26</v>
      </c>
      <c r="G222" s="13" t="s">
        <v>81</v>
      </c>
      <c r="H222" s="13" t="s">
        <v>28</v>
      </c>
      <c r="I222" s="13" t="s">
        <v>45</v>
      </c>
      <c r="J222" s="13">
        <v>9736</v>
      </c>
      <c r="K222" s="13">
        <v>555</v>
      </c>
      <c r="L222" s="18">
        <v>5403480</v>
      </c>
    </row>
    <row r="223" spans="2:12" x14ac:dyDescent="0.3">
      <c r="B223" s="17" t="s">
        <v>272</v>
      </c>
      <c r="C223" s="26" t="s">
        <v>422</v>
      </c>
      <c r="D223" s="13" t="s">
        <v>158</v>
      </c>
      <c r="E223" s="13" t="s">
        <v>159</v>
      </c>
      <c r="F223" s="13" t="s">
        <v>26</v>
      </c>
      <c r="G223" s="13" t="s">
        <v>83</v>
      </c>
      <c r="H223" s="13" t="s">
        <v>28</v>
      </c>
      <c r="I223" s="13" t="s">
        <v>45</v>
      </c>
      <c r="J223" s="13">
        <v>9499</v>
      </c>
      <c r="K223" s="13">
        <v>502</v>
      </c>
      <c r="L223" s="18">
        <v>4768498</v>
      </c>
    </row>
    <row r="224" spans="2:12" x14ac:dyDescent="0.3">
      <c r="B224" s="17" t="s">
        <v>273</v>
      </c>
      <c r="C224" s="26" t="s">
        <v>423</v>
      </c>
      <c r="D224" s="13" t="s">
        <v>158</v>
      </c>
      <c r="E224" s="13" t="s">
        <v>159</v>
      </c>
      <c r="F224" s="13" t="s">
        <v>13</v>
      </c>
      <c r="G224" s="13" t="s">
        <v>85</v>
      </c>
      <c r="H224" s="13" t="s">
        <v>44</v>
      </c>
      <c r="I224" s="13" t="s">
        <v>45</v>
      </c>
      <c r="J224" s="13">
        <v>4981</v>
      </c>
      <c r="K224" s="13">
        <v>743</v>
      </c>
      <c r="L224" s="18">
        <v>3700883</v>
      </c>
    </row>
    <row r="225" spans="2:12" x14ac:dyDescent="0.3">
      <c r="B225" s="17" t="s">
        <v>274</v>
      </c>
      <c r="C225" s="26" t="s">
        <v>423</v>
      </c>
      <c r="D225" s="13" t="s">
        <v>158</v>
      </c>
      <c r="E225" s="13" t="s">
        <v>159</v>
      </c>
      <c r="F225" s="13" t="s">
        <v>13</v>
      </c>
      <c r="G225" s="13" t="s">
        <v>87</v>
      </c>
      <c r="H225" s="13" t="s">
        <v>50</v>
      </c>
      <c r="I225" s="13" t="s">
        <v>45</v>
      </c>
      <c r="J225" s="13">
        <v>2084</v>
      </c>
      <c r="K225" s="13">
        <v>796</v>
      </c>
      <c r="L225" s="18">
        <v>1658864</v>
      </c>
    </row>
    <row r="226" spans="2:12" x14ac:dyDescent="0.3">
      <c r="B226" s="17" t="s">
        <v>275</v>
      </c>
      <c r="C226" s="26" t="s">
        <v>423</v>
      </c>
      <c r="D226" s="13" t="s">
        <v>30</v>
      </c>
      <c r="E226" s="13" t="s">
        <v>133</v>
      </c>
      <c r="F226" s="13" t="s">
        <v>22</v>
      </c>
      <c r="G226" s="13" t="s">
        <v>89</v>
      </c>
      <c r="H226" s="13" t="s">
        <v>90</v>
      </c>
      <c r="I226" s="13" t="s">
        <v>45</v>
      </c>
      <c r="J226" s="13">
        <v>4280</v>
      </c>
      <c r="K226" s="13">
        <v>942</v>
      </c>
      <c r="L226" s="18">
        <v>4031760</v>
      </c>
    </row>
    <row r="227" spans="2:12" x14ac:dyDescent="0.3">
      <c r="B227" s="17" t="s">
        <v>276</v>
      </c>
      <c r="C227" s="26" t="s">
        <v>423</v>
      </c>
      <c r="D227" s="13" t="s">
        <v>30</v>
      </c>
      <c r="E227" s="13" t="s">
        <v>133</v>
      </c>
      <c r="F227" s="13" t="s">
        <v>26</v>
      </c>
      <c r="G227" s="13" t="s">
        <v>92</v>
      </c>
      <c r="H227" s="13" t="s">
        <v>93</v>
      </c>
      <c r="I227" s="13" t="s">
        <v>45</v>
      </c>
      <c r="J227" s="13">
        <v>8113</v>
      </c>
      <c r="K227" s="13">
        <v>944</v>
      </c>
      <c r="L227" s="18">
        <v>7658672</v>
      </c>
    </row>
    <row r="228" spans="2:12" x14ac:dyDescent="0.3">
      <c r="B228" s="17" t="s">
        <v>277</v>
      </c>
      <c r="C228" s="26" t="s">
        <v>423</v>
      </c>
      <c r="D228" s="13" t="s">
        <v>30</v>
      </c>
      <c r="E228" s="13" t="s">
        <v>133</v>
      </c>
      <c r="F228" s="13" t="s">
        <v>18</v>
      </c>
      <c r="G228" s="13" t="s">
        <v>95</v>
      </c>
      <c r="H228" s="13" t="s">
        <v>20</v>
      </c>
      <c r="I228" s="13" t="s">
        <v>45</v>
      </c>
      <c r="J228" s="13">
        <v>4722</v>
      </c>
      <c r="K228" s="13">
        <v>609</v>
      </c>
      <c r="L228" s="18">
        <v>2875698</v>
      </c>
    </row>
    <row r="229" spans="2:12" x14ac:dyDescent="0.3">
      <c r="B229" s="17" t="s">
        <v>278</v>
      </c>
      <c r="C229" s="26" t="s">
        <v>423</v>
      </c>
      <c r="D229" s="13" t="s">
        <v>30</v>
      </c>
      <c r="E229" s="13" t="s">
        <v>133</v>
      </c>
      <c r="F229" s="13" t="s">
        <v>13</v>
      </c>
      <c r="G229" s="13" t="s">
        <v>97</v>
      </c>
      <c r="H229" s="13" t="s">
        <v>98</v>
      </c>
      <c r="I229" s="13" t="s">
        <v>45</v>
      </c>
      <c r="J229" s="13">
        <v>7358</v>
      </c>
      <c r="K229" s="13">
        <v>993</v>
      </c>
      <c r="L229" s="18">
        <v>7306494</v>
      </c>
    </row>
    <row r="230" spans="2:12" x14ac:dyDescent="0.3">
      <c r="B230" s="17" t="s">
        <v>279</v>
      </c>
      <c r="C230" s="26" t="s">
        <v>423</v>
      </c>
      <c r="D230" s="13" t="s">
        <v>30</v>
      </c>
      <c r="E230" s="13" t="s">
        <v>133</v>
      </c>
      <c r="F230" s="13" t="s">
        <v>13</v>
      </c>
      <c r="G230" s="13" t="s">
        <v>100</v>
      </c>
      <c r="H230" s="13" t="s">
        <v>101</v>
      </c>
      <c r="I230" s="13" t="s">
        <v>45</v>
      </c>
      <c r="J230" s="13">
        <v>2970</v>
      </c>
      <c r="K230" s="13">
        <v>725</v>
      </c>
      <c r="L230" s="18">
        <v>2153250</v>
      </c>
    </row>
    <row r="231" spans="2:12" x14ac:dyDescent="0.3">
      <c r="B231" s="17" t="s">
        <v>280</v>
      </c>
      <c r="C231" s="26" t="s">
        <v>423</v>
      </c>
      <c r="D231" s="13" t="s">
        <v>30</v>
      </c>
      <c r="E231" s="13" t="s">
        <v>146</v>
      </c>
      <c r="F231" s="13" t="s">
        <v>103</v>
      </c>
      <c r="G231" s="13" t="s">
        <v>104</v>
      </c>
      <c r="H231" s="13" t="s">
        <v>105</v>
      </c>
      <c r="I231" s="13" t="s">
        <v>45</v>
      </c>
      <c r="J231" s="13">
        <v>1939</v>
      </c>
      <c r="K231" s="13">
        <v>537</v>
      </c>
      <c r="L231" s="18">
        <v>1041243</v>
      </c>
    </row>
    <row r="232" spans="2:12" x14ac:dyDescent="0.3">
      <c r="B232" s="17" t="s">
        <v>281</v>
      </c>
      <c r="C232" s="26" t="s">
        <v>423</v>
      </c>
      <c r="D232" s="13" t="s">
        <v>30</v>
      </c>
      <c r="E232" s="13" t="s">
        <v>146</v>
      </c>
      <c r="F232" s="13" t="s">
        <v>13</v>
      </c>
      <c r="G232" s="13" t="s">
        <v>107</v>
      </c>
      <c r="H232" s="13" t="s">
        <v>108</v>
      </c>
      <c r="I232" s="13" t="s">
        <v>45</v>
      </c>
      <c r="J232" s="13">
        <v>5112</v>
      </c>
      <c r="K232" s="13">
        <v>787</v>
      </c>
      <c r="L232" s="18">
        <v>4023144</v>
      </c>
    </row>
    <row r="233" spans="2:12" x14ac:dyDescent="0.3">
      <c r="B233" s="17" t="s">
        <v>282</v>
      </c>
      <c r="C233" s="26" t="s">
        <v>423</v>
      </c>
      <c r="D233" s="13" t="s">
        <v>30</v>
      </c>
      <c r="E233" s="13" t="s">
        <v>146</v>
      </c>
      <c r="F233" s="13" t="s">
        <v>56</v>
      </c>
      <c r="G233" s="13" t="s">
        <v>110</v>
      </c>
      <c r="H233" s="13" t="s">
        <v>111</v>
      </c>
      <c r="I233" s="13" t="s">
        <v>45</v>
      </c>
      <c r="J233" s="13">
        <v>6357</v>
      </c>
      <c r="K233" s="13">
        <v>935</v>
      </c>
      <c r="L233" s="18">
        <v>5943795</v>
      </c>
    </row>
    <row r="234" spans="2:12" x14ac:dyDescent="0.3">
      <c r="B234" s="17" t="s">
        <v>283</v>
      </c>
      <c r="C234" s="26" t="s">
        <v>423</v>
      </c>
      <c r="D234" s="13" t="s">
        <v>30</v>
      </c>
      <c r="E234" s="13" t="s">
        <v>146</v>
      </c>
      <c r="F234" s="13" t="s">
        <v>22</v>
      </c>
      <c r="G234" s="13" t="s">
        <v>113</v>
      </c>
      <c r="H234" s="13" t="s">
        <v>24</v>
      </c>
      <c r="I234" s="13" t="s">
        <v>45</v>
      </c>
      <c r="J234" s="13">
        <v>4535</v>
      </c>
      <c r="K234" s="13">
        <v>634</v>
      </c>
      <c r="L234" s="18">
        <v>2875190</v>
      </c>
    </row>
    <row r="235" spans="2:12" x14ac:dyDescent="0.3">
      <c r="B235" s="17" t="s">
        <v>284</v>
      </c>
      <c r="C235" s="26" t="s">
        <v>423</v>
      </c>
      <c r="D235" s="13" t="s">
        <v>30</v>
      </c>
      <c r="E235" s="13" t="s">
        <v>146</v>
      </c>
      <c r="F235" s="13" t="s">
        <v>22</v>
      </c>
      <c r="G235" s="13" t="s">
        <v>23</v>
      </c>
      <c r="H235" s="13" t="s">
        <v>24</v>
      </c>
      <c r="I235" s="13" t="s">
        <v>15</v>
      </c>
      <c r="J235" s="13">
        <v>3944</v>
      </c>
      <c r="K235" s="13">
        <v>813</v>
      </c>
      <c r="L235" s="18">
        <v>3206472</v>
      </c>
    </row>
    <row r="236" spans="2:12" x14ac:dyDescent="0.3">
      <c r="B236" s="17" t="s">
        <v>285</v>
      </c>
      <c r="C236" s="26" t="s">
        <v>423</v>
      </c>
      <c r="D236" s="13" t="s">
        <v>30</v>
      </c>
      <c r="E236" s="13" t="s">
        <v>146</v>
      </c>
      <c r="F236" s="13" t="s">
        <v>56</v>
      </c>
      <c r="G236" s="13" t="s">
        <v>117</v>
      </c>
      <c r="H236" s="13" t="s">
        <v>58</v>
      </c>
      <c r="I236" s="13" t="s">
        <v>15</v>
      </c>
      <c r="J236" s="13">
        <v>2920</v>
      </c>
      <c r="K236" s="13">
        <v>859</v>
      </c>
      <c r="L236" s="18">
        <v>2508280</v>
      </c>
    </row>
    <row r="237" spans="2:12" x14ac:dyDescent="0.3">
      <c r="B237" s="17" t="s">
        <v>286</v>
      </c>
      <c r="C237" s="26" t="s">
        <v>423</v>
      </c>
      <c r="D237" s="13" t="s">
        <v>158</v>
      </c>
      <c r="E237" s="13" t="s">
        <v>178</v>
      </c>
      <c r="F237" s="13" t="s">
        <v>22</v>
      </c>
      <c r="G237" s="13" t="s">
        <v>119</v>
      </c>
      <c r="H237" s="13" t="s">
        <v>90</v>
      </c>
      <c r="I237" s="13" t="s">
        <v>15</v>
      </c>
      <c r="J237" s="13">
        <v>3074</v>
      </c>
      <c r="K237" s="13">
        <v>507</v>
      </c>
      <c r="L237" s="18">
        <v>1558518</v>
      </c>
    </row>
    <row r="238" spans="2:12" x14ac:dyDescent="0.3">
      <c r="B238" s="17" t="s">
        <v>287</v>
      </c>
      <c r="C238" s="26" t="s">
        <v>423</v>
      </c>
      <c r="D238" s="13" t="s">
        <v>158</v>
      </c>
      <c r="E238" s="13" t="s">
        <v>178</v>
      </c>
      <c r="F238" s="13" t="s">
        <v>22</v>
      </c>
      <c r="G238" s="13" t="s">
        <v>121</v>
      </c>
      <c r="H238" s="13" t="s">
        <v>24</v>
      </c>
      <c r="I238" s="13" t="s">
        <v>15</v>
      </c>
      <c r="J238" s="13">
        <v>1791</v>
      </c>
      <c r="K238" s="13">
        <v>542</v>
      </c>
      <c r="L238" s="18">
        <v>970722</v>
      </c>
    </row>
    <row r="239" spans="2:12" x14ac:dyDescent="0.3">
      <c r="B239" s="17" t="s">
        <v>288</v>
      </c>
      <c r="C239" s="26" t="s">
        <v>423</v>
      </c>
      <c r="D239" s="13" t="s">
        <v>158</v>
      </c>
      <c r="E239" s="13" t="s">
        <v>178</v>
      </c>
      <c r="F239" s="13" t="s">
        <v>26</v>
      </c>
      <c r="G239" s="13" t="s">
        <v>123</v>
      </c>
      <c r="H239" s="13" t="s">
        <v>33</v>
      </c>
      <c r="I239" s="13" t="s">
        <v>15</v>
      </c>
      <c r="J239" s="13">
        <v>4740</v>
      </c>
      <c r="K239" s="13">
        <v>578</v>
      </c>
      <c r="L239" s="18">
        <v>2739720</v>
      </c>
    </row>
    <row r="240" spans="2:12" x14ac:dyDescent="0.3">
      <c r="B240" s="17" t="s">
        <v>289</v>
      </c>
      <c r="C240" s="26" t="s">
        <v>423</v>
      </c>
      <c r="D240" s="13" t="s">
        <v>158</v>
      </c>
      <c r="E240" s="13" t="s">
        <v>178</v>
      </c>
      <c r="F240" s="13" t="s">
        <v>22</v>
      </c>
      <c r="G240" s="13" t="s">
        <v>71</v>
      </c>
      <c r="H240" s="13" t="s">
        <v>72</v>
      </c>
      <c r="I240" s="13" t="s">
        <v>45</v>
      </c>
      <c r="J240" s="13">
        <v>2665</v>
      </c>
      <c r="K240" s="13">
        <v>895</v>
      </c>
      <c r="L240" s="18">
        <v>2385175</v>
      </c>
    </row>
    <row r="241" spans="2:12" x14ac:dyDescent="0.3">
      <c r="B241" s="17" t="s">
        <v>290</v>
      </c>
      <c r="C241" s="26" t="s">
        <v>423</v>
      </c>
      <c r="D241" s="13" t="s">
        <v>158</v>
      </c>
      <c r="E241" s="13" t="s">
        <v>178</v>
      </c>
      <c r="F241" s="13" t="s">
        <v>18</v>
      </c>
      <c r="G241" s="13" t="s">
        <v>74</v>
      </c>
      <c r="H241" s="13" t="s">
        <v>39</v>
      </c>
      <c r="I241" s="13" t="s">
        <v>45</v>
      </c>
      <c r="J241" s="13">
        <v>5636</v>
      </c>
      <c r="K241" s="13">
        <v>565</v>
      </c>
      <c r="L241" s="18">
        <v>3184340</v>
      </c>
    </row>
    <row r="242" spans="2:12" x14ac:dyDescent="0.3">
      <c r="B242" s="17" t="s">
        <v>291</v>
      </c>
      <c r="C242" s="26" t="s">
        <v>423</v>
      </c>
      <c r="D242" s="13" t="s">
        <v>158</v>
      </c>
      <c r="E242" s="13" t="s">
        <v>178</v>
      </c>
      <c r="F242" s="13" t="s">
        <v>13</v>
      </c>
      <c r="G242" s="13" t="s">
        <v>76</v>
      </c>
      <c r="H242" s="13" t="s">
        <v>50</v>
      </c>
      <c r="I242" s="13" t="s">
        <v>45</v>
      </c>
      <c r="J242" s="13">
        <v>5928</v>
      </c>
      <c r="K242" s="13">
        <v>512</v>
      </c>
      <c r="L242" s="18">
        <v>3035136</v>
      </c>
    </row>
    <row r="243" spans="2:12" x14ac:dyDescent="0.3">
      <c r="B243" s="17" t="s">
        <v>292</v>
      </c>
      <c r="C243" s="26" t="s">
        <v>423</v>
      </c>
      <c r="D243" s="13" t="s">
        <v>158</v>
      </c>
      <c r="E243" s="13" t="s">
        <v>178</v>
      </c>
      <c r="F243" s="13" t="s">
        <v>13</v>
      </c>
      <c r="G243" s="13" t="s">
        <v>79</v>
      </c>
      <c r="H243" s="13" t="s">
        <v>50</v>
      </c>
      <c r="I243" s="13" t="s">
        <v>45</v>
      </c>
      <c r="J243" s="13">
        <v>9498</v>
      </c>
      <c r="K243" s="13">
        <v>570</v>
      </c>
      <c r="L243" s="18">
        <v>5413860</v>
      </c>
    </row>
    <row r="244" spans="2:12" x14ac:dyDescent="0.3">
      <c r="B244" s="17" t="s">
        <v>293</v>
      </c>
      <c r="C244" s="26" t="s">
        <v>423</v>
      </c>
      <c r="D244" s="13" t="s">
        <v>158</v>
      </c>
      <c r="E244" s="13" t="s">
        <v>178</v>
      </c>
      <c r="F244" s="13" t="s">
        <v>26</v>
      </c>
      <c r="G244" s="13" t="s">
        <v>81</v>
      </c>
      <c r="H244" s="13" t="s">
        <v>28</v>
      </c>
      <c r="I244" s="13" t="s">
        <v>45</v>
      </c>
      <c r="J244" s="13">
        <v>9558</v>
      </c>
      <c r="K244" s="13">
        <v>617</v>
      </c>
      <c r="L244" s="18">
        <v>5897286</v>
      </c>
    </row>
    <row r="245" spans="2:12" x14ac:dyDescent="0.3">
      <c r="B245" s="17" t="s">
        <v>294</v>
      </c>
      <c r="C245" s="26" t="s">
        <v>423</v>
      </c>
      <c r="D245" s="13" t="s">
        <v>11</v>
      </c>
      <c r="E245" s="13" t="s">
        <v>12</v>
      </c>
      <c r="F245" s="13" t="s">
        <v>26</v>
      </c>
      <c r="G245" s="13" t="s">
        <v>83</v>
      </c>
      <c r="H245" s="13" t="s">
        <v>28</v>
      </c>
      <c r="I245" s="13" t="s">
        <v>45</v>
      </c>
      <c r="J245" s="13">
        <v>2428</v>
      </c>
      <c r="K245" s="13">
        <v>662</v>
      </c>
      <c r="L245" s="18">
        <v>1607336</v>
      </c>
    </row>
    <row r="246" spans="2:12" x14ac:dyDescent="0.3">
      <c r="B246" s="17" t="s">
        <v>295</v>
      </c>
      <c r="C246" s="26" t="s">
        <v>423</v>
      </c>
      <c r="D246" s="13" t="s">
        <v>11</v>
      </c>
      <c r="E246" s="13" t="s">
        <v>17</v>
      </c>
      <c r="F246" s="13" t="s">
        <v>13</v>
      </c>
      <c r="G246" s="13" t="s">
        <v>85</v>
      </c>
      <c r="H246" s="13" t="s">
        <v>44</v>
      </c>
      <c r="I246" s="13" t="s">
        <v>45</v>
      </c>
      <c r="J246" s="13">
        <v>7389</v>
      </c>
      <c r="K246" s="13">
        <v>997</v>
      </c>
      <c r="L246" s="18">
        <v>7366833</v>
      </c>
    </row>
    <row r="247" spans="2:12" x14ac:dyDescent="0.3">
      <c r="B247" s="17" t="s">
        <v>296</v>
      </c>
      <c r="C247" s="26" t="s">
        <v>423</v>
      </c>
      <c r="D247" s="13" t="s">
        <v>11</v>
      </c>
      <c r="E247" s="13" t="s">
        <v>17</v>
      </c>
      <c r="F247" s="13" t="s">
        <v>13</v>
      </c>
      <c r="G247" s="13" t="s">
        <v>87</v>
      </c>
      <c r="H247" s="13" t="s">
        <v>50</v>
      </c>
      <c r="I247" s="13" t="s">
        <v>15</v>
      </c>
      <c r="J247" s="13">
        <v>3703</v>
      </c>
      <c r="K247" s="13">
        <v>568</v>
      </c>
      <c r="L247" s="18">
        <v>2103304</v>
      </c>
    </row>
    <row r="248" spans="2:12" x14ac:dyDescent="0.3">
      <c r="B248" s="17" t="s">
        <v>297</v>
      </c>
      <c r="C248" s="26" t="s">
        <v>423</v>
      </c>
      <c r="D248" s="13" t="s">
        <v>11</v>
      </c>
      <c r="E248" s="13" t="s">
        <v>17</v>
      </c>
      <c r="F248" s="13" t="s">
        <v>22</v>
      </c>
      <c r="G248" s="13" t="s">
        <v>89</v>
      </c>
      <c r="H248" s="13" t="s">
        <v>90</v>
      </c>
      <c r="I248" s="13" t="s">
        <v>15</v>
      </c>
      <c r="J248" s="13">
        <v>6133</v>
      </c>
      <c r="K248" s="13">
        <v>505</v>
      </c>
      <c r="L248" s="18">
        <v>3097165</v>
      </c>
    </row>
    <row r="249" spans="2:12" x14ac:dyDescent="0.3">
      <c r="B249" s="17" t="s">
        <v>298</v>
      </c>
      <c r="C249" s="26" t="s">
        <v>423</v>
      </c>
      <c r="D249" s="13" t="s">
        <v>30</v>
      </c>
      <c r="E249" s="13" t="s">
        <v>31</v>
      </c>
      <c r="F249" s="13" t="s">
        <v>26</v>
      </c>
      <c r="G249" s="13" t="s">
        <v>92</v>
      </c>
      <c r="H249" s="13" t="s">
        <v>93</v>
      </c>
      <c r="I249" s="13" t="s">
        <v>15</v>
      </c>
      <c r="J249" s="13">
        <v>7380</v>
      </c>
      <c r="K249" s="13">
        <v>794</v>
      </c>
      <c r="L249" s="18">
        <v>5859720</v>
      </c>
    </row>
    <row r="250" spans="2:12" x14ac:dyDescent="0.3">
      <c r="B250" s="17" t="s">
        <v>299</v>
      </c>
      <c r="C250" s="26" t="s">
        <v>423</v>
      </c>
      <c r="D250" s="13" t="s">
        <v>30</v>
      </c>
      <c r="E250" s="13" t="s">
        <v>31</v>
      </c>
      <c r="F250" s="13" t="s">
        <v>18</v>
      </c>
      <c r="G250" s="13" t="s">
        <v>95</v>
      </c>
      <c r="H250" s="13" t="s">
        <v>20</v>
      </c>
      <c r="I250" s="13" t="s">
        <v>15</v>
      </c>
      <c r="J250" s="13">
        <v>2440</v>
      </c>
      <c r="K250" s="13">
        <v>815</v>
      </c>
      <c r="L250" s="18">
        <v>1988600</v>
      </c>
    </row>
    <row r="251" spans="2:12" x14ac:dyDescent="0.3">
      <c r="B251" s="17" t="s">
        <v>300</v>
      </c>
      <c r="C251" s="26" t="s">
        <v>423</v>
      </c>
      <c r="D251" s="13" t="s">
        <v>30</v>
      </c>
      <c r="E251" s="13" t="s">
        <v>31</v>
      </c>
      <c r="F251" s="13" t="s">
        <v>13</v>
      </c>
      <c r="G251" s="13" t="s">
        <v>97</v>
      </c>
      <c r="H251" s="13" t="s">
        <v>98</v>
      </c>
      <c r="I251" s="13" t="s">
        <v>45</v>
      </c>
      <c r="J251" s="13">
        <v>4296</v>
      </c>
      <c r="K251" s="13">
        <v>960</v>
      </c>
      <c r="L251" s="18">
        <v>4124160</v>
      </c>
    </row>
    <row r="252" spans="2:12" x14ac:dyDescent="0.3">
      <c r="B252" s="17" t="s">
        <v>301</v>
      </c>
      <c r="C252" s="26" t="s">
        <v>423</v>
      </c>
      <c r="D252" s="13" t="s">
        <v>30</v>
      </c>
      <c r="E252" s="13" t="s">
        <v>31</v>
      </c>
      <c r="F252" s="13" t="s">
        <v>13</v>
      </c>
      <c r="G252" s="13" t="s">
        <v>100</v>
      </c>
      <c r="H252" s="13" t="s">
        <v>101</v>
      </c>
      <c r="I252" s="13" t="s">
        <v>15</v>
      </c>
      <c r="J252" s="13">
        <v>9072</v>
      </c>
      <c r="K252" s="13">
        <v>735</v>
      </c>
      <c r="L252" s="18">
        <v>6667920</v>
      </c>
    </row>
    <row r="253" spans="2:12" x14ac:dyDescent="0.3">
      <c r="B253" s="17" t="s">
        <v>302</v>
      </c>
      <c r="C253" s="26" t="s">
        <v>423</v>
      </c>
      <c r="D253" s="13" t="s">
        <v>11</v>
      </c>
      <c r="E253" s="13" t="s">
        <v>12</v>
      </c>
      <c r="F253" s="13" t="s">
        <v>103</v>
      </c>
      <c r="G253" s="13" t="s">
        <v>104</v>
      </c>
      <c r="H253" s="13" t="s">
        <v>105</v>
      </c>
      <c r="I253" s="13" t="s">
        <v>15</v>
      </c>
      <c r="J253" s="13">
        <v>6331</v>
      </c>
      <c r="K253" s="13">
        <v>573</v>
      </c>
      <c r="L253" s="18">
        <v>3627663</v>
      </c>
    </row>
    <row r="254" spans="2:12" x14ac:dyDescent="0.3">
      <c r="B254" s="17" t="s">
        <v>303</v>
      </c>
      <c r="C254" s="26" t="s">
        <v>423</v>
      </c>
      <c r="D254" s="13" t="s">
        <v>11</v>
      </c>
      <c r="E254" s="13" t="s">
        <v>12</v>
      </c>
      <c r="F254" s="13" t="s">
        <v>13</v>
      </c>
      <c r="G254" s="13" t="s">
        <v>107</v>
      </c>
      <c r="H254" s="13" t="s">
        <v>108</v>
      </c>
      <c r="I254" s="13" t="s">
        <v>15</v>
      </c>
      <c r="J254" s="13">
        <v>5511</v>
      </c>
      <c r="K254" s="13">
        <v>832</v>
      </c>
      <c r="L254" s="18">
        <v>4585152</v>
      </c>
    </row>
    <row r="255" spans="2:12" x14ac:dyDescent="0.3">
      <c r="B255" s="17" t="s">
        <v>304</v>
      </c>
      <c r="C255" s="26" t="s">
        <v>423</v>
      </c>
      <c r="D255" s="13" t="s">
        <v>11</v>
      </c>
      <c r="E255" s="13" t="s">
        <v>12</v>
      </c>
      <c r="F255" s="13" t="s">
        <v>56</v>
      </c>
      <c r="G255" s="13" t="s">
        <v>110</v>
      </c>
      <c r="H255" s="13" t="s">
        <v>111</v>
      </c>
      <c r="I255" s="13" t="s">
        <v>15</v>
      </c>
      <c r="J255" s="13">
        <v>7070</v>
      </c>
      <c r="K255" s="13">
        <v>896</v>
      </c>
      <c r="L255" s="18">
        <v>6334720</v>
      </c>
    </row>
    <row r="256" spans="2:12" x14ac:dyDescent="0.3">
      <c r="B256" s="17" t="s">
        <v>305</v>
      </c>
      <c r="C256" s="26" t="s">
        <v>423</v>
      </c>
      <c r="D256" s="13" t="s">
        <v>11</v>
      </c>
      <c r="E256" s="13" t="s">
        <v>12</v>
      </c>
      <c r="F256" s="13" t="s">
        <v>22</v>
      </c>
      <c r="G256" s="13" t="s">
        <v>113</v>
      </c>
      <c r="H256" s="13" t="s">
        <v>24</v>
      </c>
      <c r="I256" s="13" t="s">
        <v>45</v>
      </c>
      <c r="J256" s="13">
        <v>4761</v>
      </c>
      <c r="K256" s="13">
        <v>819</v>
      </c>
      <c r="L256" s="18">
        <v>3899259</v>
      </c>
    </row>
    <row r="257" spans="2:12" x14ac:dyDescent="0.3">
      <c r="B257" s="17" t="s">
        <v>306</v>
      </c>
      <c r="C257" s="26" t="s">
        <v>423</v>
      </c>
      <c r="D257" s="13" t="s">
        <v>11</v>
      </c>
      <c r="E257" s="13" t="s">
        <v>12</v>
      </c>
      <c r="F257" s="13" t="s">
        <v>22</v>
      </c>
      <c r="G257" s="13" t="s">
        <v>23</v>
      </c>
      <c r="H257" s="13" t="s">
        <v>24</v>
      </c>
      <c r="I257" s="13" t="s">
        <v>45</v>
      </c>
      <c r="J257" s="13">
        <v>8127</v>
      </c>
      <c r="K257" s="13">
        <v>956</v>
      </c>
      <c r="L257" s="18">
        <v>7769412</v>
      </c>
    </row>
    <row r="258" spans="2:12" x14ac:dyDescent="0.3">
      <c r="B258" s="17" t="s">
        <v>307</v>
      </c>
      <c r="C258" s="26" t="s">
        <v>424</v>
      </c>
      <c r="D258" s="13" t="s">
        <v>11</v>
      </c>
      <c r="E258" s="13" t="s">
        <v>12</v>
      </c>
      <c r="F258" s="13" t="s">
        <v>56</v>
      </c>
      <c r="G258" s="13" t="s">
        <v>117</v>
      </c>
      <c r="H258" s="13" t="s">
        <v>58</v>
      </c>
      <c r="I258" s="13" t="s">
        <v>45</v>
      </c>
      <c r="J258" s="13">
        <v>7794</v>
      </c>
      <c r="K258" s="13">
        <v>527</v>
      </c>
      <c r="L258" s="18">
        <v>4107438</v>
      </c>
    </row>
    <row r="259" spans="2:12" x14ac:dyDescent="0.3">
      <c r="B259" s="17" t="s">
        <v>308</v>
      </c>
      <c r="C259" s="26" t="s">
        <v>424</v>
      </c>
      <c r="D259" s="13" t="s">
        <v>30</v>
      </c>
      <c r="E259" s="13" t="s">
        <v>60</v>
      </c>
      <c r="F259" s="13" t="s">
        <v>22</v>
      </c>
      <c r="G259" s="13" t="s">
        <v>119</v>
      </c>
      <c r="H259" s="13" t="s">
        <v>90</v>
      </c>
      <c r="I259" s="13" t="s">
        <v>45</v>
      </c>
      <c r="J259" s="13">
        <v>7427</v>
      </c>
      <c r="K259" s="13">
        <v>604</v>
      </c>
      <c r="L259" s="18">
        <v>4485908</v>
      </c>
    </row>
    <row r="260" spans="2:12" x14ac:dyDescent="0.3">
      <c r="B260" s="17" t="s">
        <v>309</v>
      </c>
      <c r="C260" s="26" t="s">
        <v>424</v>
      </c>
      <c r="D260" s="13" t="s">
        <v>30</v>
      </c>
      <c r="E260" s="13" t="s">
        <v>60</v>
      </c>
      <c r="F260" s="13" t="s">
        <v>22</v>
      </c>
      <c r="G260" s="13" t="s">
        <v>121</v>
      </c>
      <c r="H260" s="13" t="s">
        <v>24</v>
      </c>
      <c r="I260" s="13" t="s">
        <v>45</v>
      </c>
      <c r="J260" s="13">
        <v>1929</v>
      </c>
      <c r="K260" s="13">
        <v>567</v>
      </c>
      <c r="L260" s="18">
        <v>1093743</v>
      </c>
    </row>
    <row r="261" spans="2:12" x14ac:dyDescent="0.3">
      <c r="B261" s="17" t="s">
        <v>310</v>
      </c>
      <c r="C261" s="26" t="s">
        <v>424</v>
      </c>
      <c r="D261" s="13" t="s">
        <v>30</v>
      </c>
      <c r="E261" s="13" t="s">
        <v>60</v>
      </c>
      <c r="F261" s="13" t="s">
        <v>26</v>
      </c>
      <c r="G261" s="13" t="s">
        <v>123</v>
      </c>
      <c r="H261" s="13" t="s">
        <v>33</v>
      </c>
      <c r="I261" s="13" t="s">
        <v>45</v>
      </c>
      <c r="J261" s="13">
        <v>5142</v>
      </c>
      <c r="K261" s="13">
        <v>514</v>
      </c>
      <c r="L261" s="18">
        <v>2642988</v>
      </c>
    </row>
    <row r="262" spans="2:12" x14ac:dyDescent="0.3">
      <c r="B262" s="17" t="s">
        <v>311</v>
      </c>
      <c r="C262" s="26" t="s">
        <v>424</v>
      </c>
      <c r="D262" s="13" t="s">
        <v>30</v>
      </c>
      <c r="E262" s="13" t="s">
        <v>60</v>
      </c>
      <c r="F262" s="13" t="s">
        <v>13</v>
      </c>
      <c r="G262" s="13" t="s">
        <v>14</v>
      </c>
      <c r="H262" s="13" t="s">
        <v>14</v>
      </c>
      <c r="I262" s="13" t="s">
        <v>45</v>
      </c>
      <c r="J262" s="13">
        <v>6102</v>
      </c>
      <c r="K262" s="13">
        <v>990</v>
      </c>
      <c r="L262" s="18">
        <v>6040980</v>
      </c>
    </row>
    <row r="263" spans="2:12" x14ac:dyDescent="0.3">
      <c r="B263" s="17" t="s">
        <v>312</v>
      </c>
      <c r="C263" s="26" t="s">
        <v>424</v>
      </c>
      <c r="D263" s="13" t="s">
        <v>30</v>
      </c>
      <c r="E263" s="13" t="s">
        <v>60</v>
      </c>
      <c r="F263" s="13" t="s">
        <v>18</v>
      </c>
      <c r="G263" s="13" t="s">
        <v>19</v>
      </c>
      <c r="H263" s="13" t="s">
        <v>20</v>
      </c>
      <c r="I263" s="13" t="s">
        <v>45</v>
      </c>
      <c r="J263" s="13">
        <v>8613</v>
      </c>
      <c r="K263" s="13">
        <v>796</v>
      </c>
      <c r="L263" s="18">
        <v>6855948</v>
      </c>
    </row>
    <row r="264" spans="2:12" x14ac:dyDescent="0.3">
      <c r="B264" s="17" t="s">
        <v>313</v>
      </c>
      <c r="C264" s="26" t="s">
        <v>424</v>
      </c>
      <c r="D264" s="13" t="s">
        <v>30</v>
      </c>
      <c r="E264" s="13" t="s">
        <v>60</v>
      </c>
      <c r="F264" s="13" t="s">
        <v>22</v>
      </c>
      <c r="G264" s="13" t="s">
        <v>23</v>
      </c>
      <c r="H264" s="13" t="s">
        <v>24</v>
      </c>
      <c r="I264" s="13" t="s">
        <v>45</v>
      </c>
      <c r="J264" s="13">
        <v>1735</v>
      </c>
      <c r="K264" s="13">
        <v>717</v>
      </c>
      <c r="L264" s="18">
        <v>1243995</v>
      </c>
    </row>
    <row r="265" spans="2:12" x14ac:dyDescent="0.3">
      <c r="B265" s="17" t="s">
        <v>314</v>
      </c>
      <c r="C265" s="26" t="s">
        <v>424</v>
      </c>
      <c r="D265" s="13" t="s">
        <v>30</v>
      </c>
      <c r="E265" s="13" t="s">
        <v>60</v>
      </c>
      <c r="F265" s="13" t="s">
        <v>26</v>
      </c>
      <c r="G265" s="13" t="s">
        <v>27</v>
      </c>
      <c r="H265" s="13" t="s">
        <v>28</v>
      </c>
      <c r="I265" s="13" t="s">
        <v>45</v>
      </c>
      <c r="J265" s="13">
        <v>4013</v>
      </c>
      <c r="K265" s="13">
        <v>818</v>
      </c>
      <c r="L265" s="18">
        <v>3282634</v>
      </c>
    </row>
    <row r="266" spans="2:12" x14ac:dyDescent="0.3">
      <c r="B266" s="17" t="s">
        <v>315</v>
      </c>
      <c r="C266" s="26" t="s">
        <v>424</v>
      </c>
      <c r="D266" s="13" t="s">
        <v>11</v>
      </c>
      <c r="E266" s="13" t="s">
        <v>78</v>
      </c>
      <c r="F266" s="13" t="s">
        <v>26</v>
      </c>
      <c r="G266" s="13" t="s">
        <v>32</v>
      </c>
      <c r="H266" s="13" t="s">
        <v>33</v>
      </c>
      <c r="I266" s="13" t="s">
        <v>15</v>
      </c>
      <c r="J266" s="13">
        <v>1882</v>
      </c>
      <c r="K266" s="13">
        <v>560</v>
      </c>
      <c r="L266" s="18">
        <v>1053920</v>
      </c>
    </row>
    <row r="267" spans="2:12" x14ac:dyDescent="0.3">
      <c r="B267" s="17" t="s">
        <v>316</v>
      </c>
      <c r="C267" s="26" t="s">
        <v>424</v>
      </c>
      <c r="D267" s="13" t="s">
        <v>11</v>
      </c>
      <c r="E267" s="13" t="s">
        <v>78</v>
      </c>
      <c r="F267" s="13" t="s">
        <v>26</v>
      </c>
      <c r="G267" s="13" t="s">
        <v>35</v>
      </c>
      <c r="H267" s="13" t="s">
        <v>36</v>
      </c>
      <c r="I267" s="13" t="s">
        <v>15</v>
      </c>
      <c r="J267" s="13">
        <v>3794</v>
      </c>
      <c r="K267" s="13">
        <v>734</v>
      </c>
      <c r="L267" s="18">
        <v>2784796</v>
      </c>
    </row>
    <row r="268" spans="2:12" x14ac:dyDescent="0.3">
      <c r="B268" s="17" t="s">
        <v>317</v>
      </c>
      <c r="C268" s="26" t="s">
        <v>424</v>
      </c>
      <c r="D268" s="13" t="s">
        <v>11</v>
      </c>
      <c r="E268" s="13" t="s">
        <v>78</v>
      </c>
      <c r="F268" s="13" t="s">
        <v>18</v>
      </c>
      <c r="G268" s="13" t="s">
        <v>38</v>
      </c>
      <c r="H268" s="13" t="s">
        <v>39</v>
      </c>
      <c r="I268" s="13" t="s">
        <v>15</v>
      </c>
      <c r="J268" s="13">
        <v>2105</v>
      </c>
      <c r="K268" s="13">
        <v>981</v>
      </c>
      <c r="L268" s="18">
        <v>2065005</v>
      </c>
    </row>
    <row r="269" spans="2:12" x14ac:dyDescent="0.3">
      <c r="B269" s="17" t="s">
        <v>318</v>
      </c>
      <c r="C269" s="26" t="s">
        <v>424</v>
      </c>
      <c r="D269" s="13" t="s">
        <v>11</v>
      </c>
      <c r="E269" s="13" t="s">
        <v>78</v>
      </c>
      <c r="F269" s="13" t="s">
        <v>18</v>
      </c>
      <c r="G269" s="13" t="s">
        <v>41</v>
      </c>
      <c r="H269" s="13" t="s">
        <v>20</v>
      </c>
      <c r="I269" s="13" t="s">
        <v>15</v>
      </c>
      <c r="J269" s="13">
        <v>7654</v>
      </c>
      <c r="K269" s="13">
        <v>881</v>
      </c>
      <c r="L269" s="18">
        <v>6743174</v>
      </c>
    </row>
    <row r="270" spans="2:12" x14ac:dyDescent="0.3">
      <c r="B270" s="17" t="s">
        <v>319</v>
      </c>
      <c r="C270" s="26" t="s">
        <v>424</v>
      </c>
      <c r="D270" s="13" t="s">
        <v>11</v>
      </c>
      <c r="E270" s="13" t="s">
        <v>78</v>
      </c>
      <c r="F270" s="13" t="s">
        <v>13</v>
      </c>
      <c r="G270" s="13" t="s">
        <v>43</v>
      </c>
      <c r="H270" s="13" t="s">
        <v>44</v>
      </c>
      <c r="I270" s="13" t="s">
        <v>15</v>
      </c>
      <c r="J270" s="13">
        <v>9045</v>
      </c>
      <c r="K270" s="13">
        <v>544</v>
      </c>
      <c r="L270" s="18">
        <v>4920480</v>
      </c>
    </row>
    <row r="271" spans="2:12" x14ac:dyDescent="0.3">
      <c r="B271" s="17" t="s">
        <v>320</v>
      </c>
      <c r="C271" s="26" t="s">
        <v>424</v>
      </c>
      <c r="D271" s="13" t="s">
        <v>11</v>
      </c>
      <c r="E271" s="13" t="s">
        <v>78</v>
      </c>
      <c r="F271" s="13" t="s">
        <v>18</v>
      </c>
      <c r="G271" s="13" t="s">
        <v>47</v>
      </c>
      <c r="H271" s="13" t="s">
        <v>39</v>
      </c>
      <c r="I271" s="13" t="s">
        <v>45</v>
      </c>
      <c r="J271" s="13">
        <v>2088</v>
      </c>
      <c r="K271" s="13">
        <v>678</v>
      </c>
      <c r="L271" s="18">
        <v>1415664</v>
      </c>
    </row>
    <row r="272" spans="2:12" x14ac:dyDescent="0.3">
      <c r="B272" s="17" t="s">
        <v>321</v>
      </c>
      <c r="C272" s="26" t="s">
        <v>424</v>
      </c>
      <c r="D272" s="13" t="s">
        <v>11</v>
      </c>
      <c r="E272" s="13" t="s">
        <v>78</v>
      </c>
      <c r="F272" s="13" t="s">
        <v>13</v>
      </c>
      <c r="G272" s="13" t="s">
        <v>49</v>
      </c>
      <c r="H272" s="13" t="s">
        <v>50</v>
      </c>
      <c r="I272" s="13" t="s">
        <v>45</v>
      </c>
      <c r="J272" s="13">
        <v>3793</v>
      </c>
      <c r="K272" s="13">
        <v>657</v>
      </c>
      <c r="L272" s="18">
        <v>2492001</v>
      </c>
    </row>
    <row r="273" spans="2:12" x14ac:dyDescent="0.3">
      <c r="B273" s="17" t="s">
        <v>322</v>
      </c>
      <c r="C273" s="26" t="s">
        <v>424</v>
      </c>
      <c r="D273" s="13" t="s">
        <v>11</v>
      </c>
      <c r="E273" s="13" t="s">
        <v>78</v>
      </c>
      <c r="F273" s="13" t="s">
        <v>13</v>
      </c>
      <c r="G273" s="13" t="s">
        <v>52</v>
      </c>
      <c r="H273" s="13" t="s">
        <v>50</v>
      </c>
      <c r="I273" s="13" t="s">
        <v>45</v>
      </c>
      <c r="J273" s="13">
        <v>6566</v>
      </c>
      <c r="K273" s="13">
        <v>674</v>
      </c>
      <c r="L273" s="18">
        <v>4425484</v>
      </c>
    </row>
    <row r="274" spans="2:12" x14ac:dyDescent="0.3">
      <c r="B274" s="17" t="s">
        <v>323</v>
      </c>
      <c r="C274" s="26" t="s">
        <v>424</v>
      </c>
      <c r="D274" s="13" t="s">
        <v>11</v>
      </c>
      <c r="E274" s="13" t="s">
        <v>78</v>
      </c>
      <c r="F274" s="13" t="s">
        <v>18</v>
      </c>
      <c r="G274" s="13" t="s">
        <v>54</v>
      </c>
      <c r="H274" s="13" t="s">
        <v>20</v>
      </c>
      <c r="I274" s="13" t="s">
        <v>15</v>
      </c>
      <c r="J274" s="13">
        <v>5152</v>
      </c>
      <c r="K274" s="13">
        <v>760</v>
      </c>
      <c r="L274" s="18">
        <v>3915520</v>
      </c>
    </row>
    <row r="275" spans="2:12" x14ac:dyDescent="0.3">
      <c r="B275" s="17" t="s">
        <v>324</v>
      </c>
      <c r="C275" s="26" t="s">
        <v>424</v>
      </c>
      <c r="D275" s="13" t="s">
        <v>11</v>
      </c>
      <c r="E275" s="13" t="s">
        <v>78</v>
      </c>
      <c r="F275" s="13" t="s">
        <v>56</v>
      </c>
      <c r="G275" s="13" t="s">
        <v>57</v>
      </c>
      <c r="H275" s="13" t="s">
        <v>58</v>
      </c>
      <c r="I275" s="13" t="s">
        <v>15</v>
      </c>
      <c r="J275" s="13">
        <v>2714</v>
      </c>
      <c r="K275" s="13">
        <v>607</v>
      </c>
      <c r="L275" s="18">
        <v>1647398</v>
      </c>
    </row>
    <row r="276" spans="2:12" x14ac:dyDescent="0.3">
      <c r="B276" s="17" t="s">
        <v>325</v>
      </c>
      <c r="C276" s="26" t="s">
        <v>424</v>
      </c>
      <c r="D276" s="13" t="s">
        <v>11</v>
      </c>
      <c r="E276" s="13" t="s">
        <v>78</v>
      </c>
      <c r="F276" s="13" t="s">
        <v>18</v>
      </c>
      <c r="G276" s="13" t="s">
        <v>61</v>
      </c>
      <c r="H276" s="13" t="s">
        <v>20</v>
      </c>
      <c r="I276" s="13" t="s">
        <v>15</v>
      </c>
      <c r="J276" s="13">
        <v>7249</v>
      </c>
      <c r="K276" s="13">
        <v>645</v>
      </c>
      <c r="L276" s="18">
        <v>4675605</v>
      </c>
    </row>
    <row r="277" spans="2:12" x14ac:dyDescent="0.3">
      <c r="B277" s="17" t="s">
        <v>326</v>
      </c>
      <c r="C277" s="26" t="s">
        <v>424</v>
      </c>
      <c r="D277" s="13" t="s">
        <v>11</v>
      </c>
      <c r="E277" s="13" t="s">
        <v>78</v>
      </c>
      <c r="F277" s="13" t="s">
        <v>63</v>
      </c>
      <c r="G277" s="13" t="s">
        <v>64</v>
      </c>
      <c r="H277" s="13" t="s">
        <v>64</v>
      </c>
      <c r="I277" s="13" t="s">
        <v>15</v>
      </c>
      <c r="J277" s="13">
        <v>7924</v>
      </c>
      <c r="K277" s="13">
        <v>855</v>
      </c>
      <c r="L277" s="18">
        <v>6775020</v>
      </c>
    </row>
    <row r="278" spans="2:12" x14ac:dyDescent="0.3">
      <c r="B278" s="17" t="s">
        <v>327</v>
      </c>
      <c r="C278" s="26" t="s">
        <v>424</v>
      </c>
      <c r="D278" s="13" t="s">
        <v>11</v>
      </c>
      <c r="E278" s="13" t="s">
        <v>78</v>
      </c>
      <c r="F278" s="13" t="s">
        <v>56</v>
      </c>
      <c r="G278" s="13" t="s">
        <v>66</v>
      </c>
      <c r="H278" s="13" t="s">
        <v>58</v>
      </c>
      <c r="I278" s="13" t="s">
        <v>15</v>
      </c>
      <c r="J278" s="13">
        <v>6728</v>
      </c>
      <c r="K278" s="13">
        <v>701</v>
      </c>
      <c r="L278" s="18">
        <v>4716328</v>
      </c>
    </row>
    <row r="279" spans="2:12" x14ac:dyDescent="0.3">
      <c r="B279" s="17" t="s">
        <v>328</v>
      </c>
      <c r="C279" s="26" t="s">
        <v>424</v>
      </c>
      <c r="D279" s="13" t="s">
        <v>11</v>
      </c>
      <c r="E279" s="13" t="s">
        <v>78</v>
      </c>
      <c r="F279" s="13" t="s">
        <v>26</v>
      </c>
      <c r="G279" s="13" t="s">
        <v>68</v>
      </c>
      <c r="H279" s="13" t="s">
        <v>69</v>
      </c>
      <c r="I279" s="13" t="s">
        <v>45</v>
      </c>
      <c r="J279" s="13">
        <v>6384</v>
      </c>
      <c r="K279" s="13">
        <v>575</v>
      </c>
      <c r="L279" s="18">
        <v>3670800</v>
      </c>
    </row>
    <row r="280" spans="2:12" x14ac:dyDescent="0.3">
      <c r="B280" s="17" t="s">
        <v>329</v>
      </c>
      <c r="C280" s="26" t="s">
        <v>424</v>
      </c>
      <c r="D280" s="13" t="s">
        <v>11</v>
      </c>
      <c r="E280" s="13" t="s">
        <v>78</v>
      </c>
      <c r="F280" s="13" t="s">
        <v>22</v>
      </c>
      <c r="G280" s="13" t="s">
        <v>71</v>
      </c>
      <c r="H280" s="13" t="s">
        <v>72</v>
      </c>
      <c r="I280" s="13" t="s">
        <v>45</v>
      </c>
      <c r="J280" s="13">
        <v>3372</v>
      </c>
      <c r="K280" s="13">
        <v>533</v>
      </c>
      <c r="L280" s="18">
        <v>1797276</v>
      </c>
    </row>
    <row r="281" spans="2:12" x14ac:dyDescent="0.3">
      <c r="B281" s="17" t="s">
        <v>330</v>
      </c>
      <c r="C281" s="26" t="s">
        <v>424</v>
      </c>
      <c r="D281" s="13" t="s">
        <v>11</v>
      </c>
      <c r="E281" s="13" t="s">
        <v>116</v>
      </c>
      <c r="F281" s="13" t="s">
        <v>18</v>
      </c>
      <c r="G281" s="13" t="s">
        <v>74</v>
      </c>
      <c r="H281" s="13" t="s">
        <v>39</v>
      </c>
      <c r="I281" s="13" t="s">
        <v>45</v>
      </c>
      <c r="J281" s="13">
        <v>1817</v>
      </c>
      <c r="K281" s="13">
        <v>615</v>
      </c>
      <c r="L281" s="18">
        <v>1117455</v>
      </c>
    </row>
    <row r="282" spans="2:12" x14ac:dyDescent="0.3">
      <c r="B282" s="17" t="s">
        <v>331</v>
      </c>
      <c r="C282" s="26" t="s">
        <v>424</v>
      </c>
      <c r="D282" s="13" t="s">
        <v>11</v>
      </c>
      <c r="E282" s="13" t="s">
        <v>116</v>
      </c>
      <c r="F282" s="13" t="s">
        <v>13</v>
      </c>
      <c r="G282" s="13" t="s">
        <v>76</v>
      </c>
      <c r="H282" s="13" t="s">
        <v>50</v>
      </c>
      <c r="I282" s="13" t="s">
        <v>45</v>
      </c>
      <c r="J282" s="13">
        <v>3910</v>
      </c>
      <c r="K282" s="13">
        <v>521</v>
      </c>
      <c r="L282" s="18">
        <v>2037110</v>
      </c>
    </row>
    <row r="283" spans="2:12" x14ac:dyDescent="0.3">
      <c r="B283" s="17" t="s">
        <v>332</v>
      </c>
      <c r="C283" s="26" t="s">
        <v>424</v>
      </c>
      <c r="D283" s="13" t="s">
        <v>11</v>
      </c>
      <c r="E283" s="13" t="s">
        <v>116</v>
      </c>
      <c r="F283" s="13" t="s">
        <v>13</v>
      </c>
      <c r="G283" s="13" t="s">
        <v>79</v>
      </c>
      <c r="H283" s="13" t="s">
        <v>50</v>
      </c>
      <c r="I283" s="13" t="s">
        <v>45</v>
      </c>
      <c r="J283" s="13">
        <v>9238</v>
      </c>
      <c r="K283" s="13">
        <v>630</v>
      </c>
      <c r="L283" s="18">
        <v>5819940</v>
      </c>
    </row>
    <row r="284" spans="2:12" x14ac:dyDescent="0.3">
      <c r="B284" s="17" t="s">
        <v>333</v>
      </c>
      <c r="C284" s="26" t="s">
        <v>424</v>
      </c>
      <c r="D284" s="13" t="s">
        <v>11</v>
      </c>
      <c r="E284" s="13" t="s">
        <v>116</v>
      </c>
      <c r="F284" s="13" t="s">
        <v>26</v>
      </c>
      <c r="G284" s="13" t="s">
        <v>81</v>
      </c>
      <c r="H284" s="13" t="s">
        <v>28</v>
      </c>
      <c r="I284" s="13" t="s">
        <v>45</v>
      </c>
      <c r="J284" s="13">
        <v>8891</v>
      </c>
      <c r="K284" s="13">
        <v>500</v>
      </c>
      <c r="L284" s="18">
        <v>4445500</v>
      </c>
    </row>
    <row r="285" spans="2:12" x14ac:dyDescent="0.3">
      <c r="B285" s="17" t="s">
        <v>334</v>
      </c>
      <c r="C285" s="26" t="s">
        <v>424</v>
      </c>
      <c r="D285" s="13" t="s">
        <v>11</v>
      </c>
      <c r="E285" s="13" t="s">
        <v>116</v>
      </c>
      <c r="F285" s="13" t="s">
        <v>26</v>
      </c>
      <c r="G285" s="13" t="s">
        <v>83</v>
      </c>
      <c r="H285" s="13" t="s">
        <v>28</v>
      </c>
      <c r="I285" s="13" t="s">
        <v>45</v>
      </c>
      <c r="J285" s="13">
        <v>5367</v>
      </c>
      <c r="K285" s="13">
        <v>606</v>
      </c>
      <c r="L285" s="18">
        <v>3252402</v>
      </c>
    </row>
    <row r="286" spans="2:12" x14ac:dyDescent="0.3">
      <c r="B286" s="17" t="s">
        <v>335</v>
      </c>
      <c r="C286" s="26" t="s">
        <v>424</v>
      </c>
      <c r="D286" s="13" t="s">
        <v>11</v>
      </c>
      <c r="E286" s="13" t="s">
        <v>116</v>
      </c>
      <c r="F286" s="13" t="s">
        <v>13</v>
      </c>
      <c r="G286" s="13" t="s">
        <v>85</v>
      </c>
      <c r="H286" s="13" t="s">
        <v>44</v>
      </c>
      <c r="I286" s="13" t="s">
        <v>15</v>
      </c>
      <c r="J286" s="13">
        <v>5733</v>
      </c>
      <c r="K286" s="13">
        <v>582</v>
      </c>
      <c r="L286" s="18">
        <v>3336606</v>
      </c>
    </row>
    <row r="287" spans="2:12" x14ac:dyDescent="0.3">
      <c r="B287" s="17" t="s">
        <v>336</v>
      </c>
      <c r="C287" s="26" t="s">
        <v>424</v>
      </c>
      <c r="D287" s="13" t="s">
        <v>11</v>
      </c>
      <c r="E287" s="13" t="s">
        <v>116</v>
      </c>
      <c r="F287" s="13" t="s">
        <v>13</v>
      </c>
      <c r="G287" s="13" t="s">
        <v>87</v>
      </c>
      <c r="H287" s="13" t="s">
        <v>50</v>
      </c>
      <c r="I287" s="13" t="s">
        <v>15</v>
      </c>
      <c r="J287" s="13">
        <v>6120</v>
      </c>
      <c r="K287" s="13">
        <v>647</v>
      </c>
      <c r="L287" s="18">
        <v>3959640</v>
      </c>
    </row>
    <row r="288" spans="2:12" x14ac:dyDescent="0.3">
      <c r="B288" s="17" t="s">
        <v>337</v>
      </c>
      <c r="C288" s="26" t="s">
        <v>424</v>
      </c>
      <c r="D288" s="13" t="s">
        <v>11</v>
      </c>
      <c r="E288" s="13" t="s">
        <v>116</v>
      </c>
      <c r="F288" s="13" t="s">
        <v>22</v>
      </c>
      <c r="G288" s="13" t="s">
        <v>89</v>
      </c>
      <c r="H288" s="13" t="s">
        <v>90</v>
      </c>
      <c r="I288" s="13" t="s">
        <v>15</v>
      </c>
      <c r="J288" s="13">
        <v>4560</v>
      </c>
      <c r="K288" s="13">
        <v>779</v>
      </c>
      <c r="L288" s="18">
        <v>3552240</v>
      </c>
    </row>
    <row r="289" spans="2:12" x14ac:dyDescent="0.3">
      <c r="B289" s="17" t="s">
        <v>338</v>
      </c>
      <c r="C289" s="26" t="s">
        <v>424</v>
      </c>
      <c r="D289" s="13" t="s">
        <v>11</v>
      </c>
      <c r="E289" s="13" t="s">
        <v>116</v>
      </c>
      <c r="F289" s="13" t="s">
        <v>26</v>
      </c>
      <c r="G289" s="13" t="s">
        <v>92</v>
      </c>
      <c r="H289" s="13" t="s">
        <v>93</v>
      </c>
      <c r="I289" s="13" t="s">
        <v>15</v>
      </c>
      <c r="J289" s="13">
        <v>7880</v>
      </c>
      <c r="K289" s="13">
        <v>814</v>
      </c>
      <c r="L289" s="18">
        <v>6414320</v>
      </c>
    </row>
    <row r="290" spans="2:12" x14ac:dyDescent="0.3">
      <c r="B290" s="17" t="s">
        <v>339</v>
      </c>
      <c r="C290" s="26" t="s">
        <v>424</v>
      </c>
      <c r="D290" s="13" t="s">
        <v>11</v>
      </c>
      <c r="E290" s="13" t="s">
        <v>116</v>
      </c>
      <c r="F290" s="13" t="s">
        <v>18</v>
      </c>
      <c r="G290" s="13" t="s">
        <v>95</v>
      </c>
      <c r="H290" s="13" t="s">
        <v>20</v>
      </c>
      <c r="I290" s="13" t="s">
        <v>45</v>
      </c>
      <c r="J290" s="13">
        <v>4940</v>
      </c>
      <c r="K290" s="13">
        <v>517</v>
      </c>
      <c r="L290" s="18">
        <v>2553980</v>
      </c>
    </row>
    <row r="291" spans="2:12" x14ac:dyDescent="0.3">
      <c r="B291" s="17" t="s">
        <v>340</v>
      </c>
      <c r="C291" s="26" t="s">
        <v>424</v>
      </c>
      <c r="D291" s="13" t="s">
        <v>11</v>
      </c>
      <c r="E291" s="13" t="s">
        <v>116</v>
      </c>
      <c r="F291" s="13" t="s">
        <v>13</v>
      </c>
      <c r="G291" s="13" t="s">
        <v>97</v>
      </c>
      <c r="H291" s="13" t="s">
        <v>98</v>
      </c>
      <c r="I291" s="13" t="s">
        <v>15</v>
      </c>
      <c r="J291" s="13">
        <v>4721</v>
      </c>
      <c r="K291" s="13">
        <v>620</v>
      </c>
      <c r="L291" s="18">
        <v>2927020</v>
      </c>
    </row>
    <row r="292" spans="2:12" x14ac:dyDescent="0.3">
      <c r="B292" s="17" t="s">
        <v>341</v>
      </c>
      <c r="C292" s="26" t="s">
        <v>424</v>
      </c>
      <c r="D292" s="13" t="s">
        <v>11</v>
      </c>
      <c r="E292" s="13" t="s">
        <v>116</v>
      </c>
      <c r="F292" s="13" t="s">
        <v>13</v>
      </c>
      <c r="G292" s="13" t="s">
        <v>100</v>
      </c>
      <c r="H292" s="13" t="s">
        <v>101</v>
      </c>
      <c r="I292" s="13" t="s">
        <v>15</v>
      </c>
      <c r="J292" s="13">
        <v>2837</v>
      </c>
      <c r="K292" s="13">
        <v>831</v>
      </c>
      <c r="L292" s="18">
        <v>2357547</v>
      </c>
    </row>
    <row r="293" spans="2:12" x14ac:dyDescent="0.3">
      <c r="B293" s="17" t="s">
        <v>200</v>
      </c>
      <c r="C293" s="26" t="s">
        <v>424</v>
      </c>
      <c r="D293" s="13" t="s">
        <v>30</v>
      </c>
      <c r="E293" s="13" t="s">
        <v>133</v>
      </c>
      <c r="F293" s="13" t="s">
        <v>103</v>
      </c>
      <c r="G293" s="13" t="s">
        <v>104</v>
      </c>
      <c r="H293" s="13" t="s">
        <v>105</v>
      </c>
      <c r="I293" s="13" t="s">
        <v>15</v>
      </c>
      <c r="J293" s="13">
        <v>2085</v>
      </c>
      <c r="K293" s="13">
        <v>595</v>
      </c>
      <c r="L293" s="18">
        <v>1240575</v>
      </c>
    </row>
    <row r="294" spans="2:12" x14ac:dyDescent="0.3">
      <c r="B294" s="17" t="s">
        <v>342</v>
      </c>
      <c r="C294" s="26" t="s">
        <v>424</v>
      </c>
      <c r="D294" s="13" t="s">
        <v>30</v>
      </c>
      <c r="E294" s="13" t="s">
        <v>133</v>
      </c>
      <c r="F294" s="13" t="s">
        <v>13</v>
      </c>
      <c r="G294" s="13" t="s">
        <v>107</v>
      </c>
      <c r="H294" s="13" t="s">
        <v>108</v>
      </c>
      <c r="I294" s="13" t="s">
        <v>15</v>
      </c>
      <c r="J294" s="13">
        <v>2616</v>
      </c>
      <c r="K294" s="13">
        <v>652</v>
      </c>
      <c r="L294" s="18">
        <v>1705632</v>
      </c>
    </row>
    <row r="295" spans="2:12" x14ac:dyDescent="0.3">
      <c r="B295" s="17" t="s">
        <v>343</v>
      </c>
      <c r="C295" s="26" t="s">
        <v>424</v>
      </c>
      <c r="D295" s="13" t="s">
        <v>30</v>
      </c>
      <c r="E295" s="13" t="s">
        <v>133</v>
      </c>
      <c r="F295" s="13" t="s">
        <v>56</v>
      </c>
      <c r="G295" s="13" t="s">
        <v>110</v>
      </c>
      <c r="H295" s="13" t="s">
        <v>111</v>
      </c>
      <c r="I295" s="13" t="s">
        <v>45</v>
      </c>
      <c r="J295" s="13">
        <v>6023</v>
      </c>
      <c r="K295" s="13">
        <v>707</v>
      </c>
      <c r="L295" s="18">
        <v>4258261</v>
      </c>
    </row>
    <row r="296" spans="2:12" x14ac:dyDescent="0.3">
      <c r="B296" s="17" t="s">
        <v>344</v>
      </c>
      <c r="C296" s="26" t="s">
        <v>424</v>
      </c>
      <c r="D296" s="13" t="s">
        <v>30</v>
      </c>
      <c r="E296" s="13" t="s">
        <v>133</v>
      </c>
      <c r="F296" s="13" t="s">
        <v>22</v>
      </c>
      <c r="G296" s="13" t="s">
        <v>113</v>
      </c>
      <c r="H296" s="13" t="s">
        <v>24</v>
      </c>
      <c r="I296" s="13" t="s">
        <v>45</v>
      </c>
      <c r="J296" s="13">
        <v>6681</v>
      </c>
      <c r="K296" s="13">
        <v>886</v>
      </c>
      <c r="L296" s="18">
        <v>5919366</v>
      </c>
    </row>
    <row r="297" spans="2:12" x14ac:dyDescent="0.3">
      <c r="B297" s="17" t="s">
        <v>345</v>
      </c>
      <c r="C297" s="26" t="s">
        <v>424</v>
      </c>
      <c r="D297" s="13" t="s">
        <v>30</v>
      </c>
      <c r="E297" s="13" t="s">
        <v>133</v>
      </c>
      <c r="F297" s="13" t="s">
        <v>18</v>
      </c>
      <c r="G297" s="13" t="s">
        <v>74</v>
      </c>
      <c r="H297" s="13" t="s">
        <v>39</v>
      </c>
      <c r="I297" s="13" t="s">
        <v>45</v>
      </c>
      <c r="J297" s="13">
        <v>8243</v>
      </c>
      <c r="K297" s="13">
        <v>630</v>
      </c>
      <c r="L297" s="18">
        <v>5193090</v>
      </c>
    </row>
    <row r="298" spans="2:12" x14ac:dyDescent="0.3">
      <c r="B298" s="17" t="s">
        <v>346</v>
      </c>
      <c r="C298" s="26" t="s">
        <v>424</v>
      </c>
      <c r="D298" s="13" t="s">
        <v>30</v>
      </c>
      <c r="E298" s="13" t="s">
        <v>133</v>
      </c>
      <c r="F298" s="13" t="s">
        <v>13</v>
      </c>
      <c r="G298" s="13" t="s">
        <v>76</v>
      </c>
      <c r="H298" s="13" t="s">
        <v>50</v>
      </c>
      <c r="I298" s="13" t="s">
        <v>45</v>
      </c>
      <c r="J298" s="13">
        <v>9739</v>
      </c>
      <c r="K298" s="13">
        <v>947</v>
      </c>
      <c r="L298" s="18">
        <v>9222833</v>
      </c>
    </row>
    <row r="299" spans="2:12" x14ac:dyDescent="0.3">
      <c r="B299" s="17" t="s">
        <v>347</v>
      </c>
      <c r="C299" s="26" t="s">
        <v>424</v>
      </c>
      <c r="D299" s="13" t="s">
        <v>30</v>
      </c>
      <c r="E299" s="13" t="s">
        <v>133</v>
      </c>
      <c r="F299" s="13" t="s">
        <v>13</v>
      </c>
      <c r="G299" s="13" t="s">
        <v>79</v>
      </c>
      <c r="H299" s="13" t="s">
        <v>50</v>
      </c>
      <c r="I299" s="13" t="s">
        <v>45</v>
      </c>
      <c r="J299" s="13">
        <v>1974</v>
      </c>
      <c r="K299" s="13">
        <v>575</v>
      </c>
      <c r="L299" s="18">
        <v>1135050</v>
      </c>
    </row>
    <row r="300" spans="2:12" x14ac:dyDescent="0.3">
      <c r="B300" s="17" t="s">
        <v>348</v>
      </c>
      <c r="C300" s="26" t="s">
        <v>424</v>
      </c>
      <c r="D300" s="13" t="s">
        <v>30</v>
      </c>
      <c r="E300" s="13" t="s">
        <v>133</v>
      </c>
      <c r="F300" s="13" t="s">
        <v>26</v>
      </c>
      <c r="G300" s="13" t="s">
        <v>81</v>
      </c>
      <c r="H300" s="13" t="s">
        <v>28</v>
      </c>
      <c r="I300" s="13" t="s">
        <v>45</v>
      </c>
      <c r="J300" s="13">
        <v>7991</v>
      </c>
      <c r="K300" s="13">
        <v>910</v>
      </c>
      <c r="L300" s="18">
        <v>7271810</v>
      </c>
    </row>
    <row r="301" spans="2:12" x14ac:dyDescent="0.3">
      <c r="B301" s="17" t="s">
        <v>349</v>
      </c>
      <c r="C301" s="26" t="s">
        <v>425</v>
      </c>
      <c r="D301" s="13" t="s">
        <v>30</v>
      </c>
      <c r="E301" s="13" t="s">
        <v>133</v>
      </c>
      <c r="F301" s="13" t="s">
        <v>26</v>
      </c>
      <c r="G301" s="13" t="s">
        <v>83</v>
      </c>
      <c r="H301" s="13" t="s">
        <v>28</v>
      </c>
      <c r="I301" s="13" t="s">
        <v>45</v>
      </c>
      <c r="J301" s="13">
        <v>1888</v>
      </c>
      <c r="K301" s="13">
        <v>682</v>
      </c>
      <c r="L301" s="18">
        <v>1287616</v>
      </c>
    </row>
    <row r="302" spans="2:12" x14ac:dyDescent="0.3">
      <c r="B302" s="17" t="s">
        <v>350</v>
      </c>
      <c r="C302" s="26" t="s">
        <v>425</v>
      </c>
      <c r="D302" s="13" t="s">
        <v>30</v>
      </c>
      <c r="E302" s="13" t="s">
        <v>133</v>
      </c>
      <c r="F302" s="13" t="s">
        <v>13</v>
      </c>
      <c r="G302" s="13" t="s">
        <v>85</v>
      </c>
      <c r="H302" s="13" t="s">
        <v>44</v>
      </c>
      <c r="I302" s="13" t="s">
        <v>45</v>
      </c>
      <c r="J302" s="13">
        <v>3251</v>
      </c>
      <c r="K302" s="13">
        <v>720</v>
      </c>
      <c r="L302" s="18">
        <v>2340720</v>
      </c>
    </row>
    <row r="303" spans="2:12" x14ac:dyDescent="0.3">
      <c r="B303" s="17" t="s">
        <v>351</v>
      </c>
      <c r="C303" s="26" t="s">
        <v>425</v>
      </c>
      <c r="D303" s="13" t="s">
        <v>30</v>
      </c>
      <c r="E303" s="13" t="s">
        <v>133</v>
      </c>
      <c r="F303" s="13" t="s">
        <v>13</v>
      </c>
      <c r="G303" s="13" t="s">
        <v>87</v>
      </c>
      <c r="H303" s="13" t="s">
        <v>50</v>
      </c>
      <c r="I303" s="13" t="s">
        <v>45</v>
      </c>
      <c r="J303" s="13">
        <v>7341</v>
      </c>
      <c r="K303" s="13">
        <v>848</v>
      </c>
      <c r="L303" s="18">
        <v>6225168</v>
      </c>
    </row>
    <row r="304" spans="2:12" x14ac:dyDescent="0.3">
      <c r="B304" s="17" t="s">
        <v>352</v>
      </c>
      <c r="C304" s="26" t="s">
        <v>425</v>
      </c>
      <c r="D304" s="13" t="s">
        <v>30</v>
      </c>
      <c r="E304" s="13" t="s">
        <v>133</v>
      </c>
      <c r="F304" s="13" t="s">
        <v>22</v>
      </c>
      <c r="G304" s="13" t="s">
        <v>89</v>
      </c>
      <c r="H304" s="13" t="s">
        <v>90</v>
      </c>
      <c r="I304" s="13" t="s">
        <v>45</v>
      </c>
      <c r="J304" s="13">
        <v>7168</v>
      </c>
      <c r="K304" s="13">
        <v>642</v>
      </c>
      <c r="L304" s="18">
        <v>4601856</v>
      </c>
    </row>
    <row r="305" spans="2:12" x14ac:dyDescent="0.3">
      <c r="B305" s="17" t="s">
        <v>353</v>
      </c>
      <c r="C305" s="26" t="s">
        <v>425</v>
      </c>
      <c r="D305" s="13" t="s">
        <v>30</v>
      </c>
      <c r="E305" s="13" t="s">
        <v>146</v>
      </c>
      <c r="F305" s="13" t="s">
        <v>26</v>
      </c>
      <c r="G305" s="13" t="s">
        <v>92</v>
      </c>
      <c r="H305" s="13" t="s">
        <v>93</v>
      </c>
      <c r="I305" s="13" t="s">
        <v>45</v>
      </c>
      <c r="J305" s="13">
        <v>8503</v>
      </c>
      <c r="K305" s="13">
        <v>591</v>
      </c>
      <c r="L305" s="18">
        <v>5025273</v>
      </c>
    </row>
    <row r="306" spans="2:12" x14ac:dyDescent="0.3">
      <c r="B306" s="17" t="s">
        <v>354</v>
      </c>
      <c r="C306" s="26" t="s">
        <v>425</v>
      </c>
      <c r="D306" s="13" t="s">
        <v>30</v>
      </c>
      <c r="E306" s="13" t="s">
        <v>146</v>
      </c>
      <c r="F306" s="13" t="s">
        <v>18</v>
      </c>
      <c r="G306" s="13" t="s">
        <v>95</v>
      </c>
      <c r="H306" s="13" t="s">
        <v>20</v>
      </c>
      <c r="I306" s="13" t="s">
        <v>45</v>
      </c>
      <c r="J306" s="13">
        <v>3099</v>
      </c>
      <c r="K306" s="13">
        <v>601</v>
      </c>
      <c r="L306" s="18">
        <v>1862499</v>
      </c>
    </row>
    <row r="307" spans="2:12" x14ac:dyDescent="0.3">
      <c r="B307" s="17" t="s">
        <v>355</v>
      </c>
      <c r="C307" s="26" t="s">
        <v>425</v>
      </c>
      <c r="D307" s="13" t="s">
        <v>30</v>
      </c>
      <c r="E307" s="13" t="s">
        <v>146</v>
      </c>
      <c r="F307" s="13" t="s">
        <v>13</v>
      </c>
      <c r="G307" s="13" t="s">
        <v>97</v>
      </c>
      <c r="H307" s="13" t="s">
        <v>98</v>
      </c>
      <c r="I307" s="13" t="s">
        <v>45</v>
      </c>
      <c r="J307" s="13">
        <v>2916</v>
      </c>
      <c r="K307" s="13">
        <v>767</v>
      </c>
      <c r="L307" s="18">
        <v>2236572</v>
      </c>
    </row>
    <row r="308" spans="2:12" x14ac:dyDescent="0.3">
      <c r="B308" s="17" t="s">
        <v>356</v>
      </c>
      <c r="C308" s="26" t="s">
        <v>425</v>
      </c>
      <c r="D308" s="13" t="s">
        <v>30</v>
      </c>
      <c r="E308" s="13" t="s">
        <v>146</v>
      </c>
      <c r="F308" s="13" t="s">
        <v>13</v>
      </c>
      <c r="G308" s="13" t="s">
        <v>100</v>
      </c>
      <c r="H308" s="13" t="s">
        <v>101</v>
      </c>
      <c r="I308" s="13" t="s">
        <v>45</v>
      </c>
      <c r="J308" s="13">
        <v>5674</v>
      </c>
      <c r="K308" s="13">
        <v>975</v>
      </c>
      <c r="L308" s="18">
        <v>5532150</v>
      </c>
    </row>
    <row r="309" spans="2:12" x14ac:dyDescent="0.3">
      <c r="B309" s="17" t="s">
        <v>357</v>
      </c>
      <c r="C309" s="26" t="s">
        <v>425</v>
      </c>
      <c r="D309" s="13" t="s">
        <v>30</v>
      </c>
      <c r="E309" s="13" t="s">
        <v>146</v>
      </c>
      <c r="F309" s="13" t="s">
        <v>103</v>
      </c>
      <c r="G309" s="13" t="s">
        <v>104</v>
      </c>
      <c r="H309" s="13" t="s">
        <v>105</v>
      </c>
      <c r="I309" s="13" t="s">
        <v>45</v>
      </c>
      <c r="J309" s="13">
        <v>4048</v>
      </c>
      <c r="K309" s="13">
        <v>713</v>
      </c>
      <c r="L309" s="18">
        <v>2886224</v>
      </c>
    </row>
    <row r="310" spans="2:12" x14ac:dyDescent="0.3">
      <c r="B310" s="17" t="s">
        <v>358</v>
      </c>
      <c r="C310" s="26" t="s">
        <v>425</v>
      </c>
      <c r="D310" s="13" t="s">
        <v>30</v>
      </c>
      <c r="E310" s="13" t="s">
        <v>146</v>
      </c>
      <c r="F310" s="13" t="s">
        <v>13</v>
      </c>
      <c r="G310" s="13" t="s">
        <v>107</v>
      </c>
      <c r="H310" s="13" t="s">
        <v>108</v>
      </c>
      <c r="I310" s="13" t="s">
        <v>15</v>
      </c>
      <c r="J310" s="13">
        <v>1663</v>
      </c>
      <c r="K310" s="13">
        <v>659</v>
      </c>
      <c r="L310" s="18">
        <v>1095917</v>
      </c>
    </row>
    <row r="311" spans="2:12" x14ac:dyDescent="0.3">
      <c r="B311" s="17" t="s">
        <v>359</v>
      </c>
      <c r="C311" s="26" t="s">
        <v>425</v>
      </c>
      <c r="D311" s="13" t="s">
        <v>30</v>
      </c>
      <c r="E311" s="13" t="s">
        <v>146</v>
      </c>
      <c r="F311" s="13" t="s">
        <v>56</v>
      </c>
      <c r="G311" s="13" t="s">
        <v>110</v>
      </c>
      <c r="H311" s="13" t="s">
        <v>111</v>
      </c>
      <c r="I311" s="13" t="s">
        <v>15</v>
      </c>
      <c r="J311" s="13">
        <v>9541</v>
      </c>
      <c r="K311" s="13">
        <v>984</v>
      </c>
      <c r="L311" s="18">
        <v>9388344</v>
      </c>
    </row>
    <row r="312" spans="2:12" x14ac:dyDescent="0.3">
      <c r="B312" s="17" t="s">
        <v>360</v>
      </c>
      <c r="C312" s="26" t="s">
        <v>425</v>
      </c>
      <c r="D312" s="13" t="s">
        <v>30</v>
      </c>
      <c r="E312" s="13" t="s">
        <v>146</v>
      </c>
      <c r="F312" s="13" t="s">
        <v>22</v>
      </c>
      <c r="G312" s="13" t="s">
        <v>113</v>
      </c>
      <c r="H312" s="13" t="s">
        <v>24</v>
      </c>
      <c r="I312" s="13" t="s">
        <v>15</v>
      </c>
      <c r="J312" s="13">
        <v>3649</v>
      </c>
      <c r="K312" s="13">
        <v>503</v>
      </c>
      <c r="L312" s="18">
        <v>1835447</v>
      </c>
    </row>
    <row r="313" spans="2:12" x14ac:dyDescent="0.3">
      <c r="B313" s="17" t="s">
        <v>361</v>
      </c>
      <c r="C313" s="26" t="s">
        <v>425</v>
      </c>
      <c r="D313" s="13" t="s">
        <v>30</v>
      </c>
      <c r="E313" s="13" t="s">
        <v>146</v>
      </c>
      <c r="F313" s="13" t="s">
        <v>22</v>
      </c>
      <c r="G313" s="13" t="s">
        <v>23</v>
      </c>
      <c r="H313" s="13" t="s">
        <v>24</v>
      </c>
      <c r="I313" s="13" t="s">
        <v>15</v>
      </c>
      <c r="J313" s="13">
        <v>1737</v>
      </c>
      <c r="K313" s="13">
        <v>571</v>
      </c>
      <c r="L313" s="18">
        <v>991827</v>
      </c>
    </row>
    <row r="314" spans="2:12" x14ac:dyDescent="0.3">
      <c r="B314" s="17" t="s">
        <v>362</v>
      </c>
      <c r="C314" s="26" t="s">
        <v>425</v>
      </c>
      <c r="D314" s="13" t="s">
        <v>30</v>
      </c>
      <c r="E314" s="13" t="s">
        <v>146</v>
      </c>
      <c r="F314" s="13" t="s">
        <v>56</v>
      </c>
      <c r="G314" s="13" t="s">
        <v>117</v>
      </c>
      <c r="H314" s="13" t="s">
        <v>58</v>
      </c>
      <c r="I314" s="13" t="s">
        <v>15</v>
      </c>
      <c r="J314" s="13">
        <v>7995</v>
      </c>
      <c r="K314" s="13">
        <v>910</v>
      </c>
      <c r="L314" s="18">
        <v>7275450</v>
      </c>
    </row>
    <row r="315" spans="2:12" x14ac:dyDescent="0.3">
      <c r="B315" s="17" t="s">
        <v>363</v>
      </c>
      <c r="C315" s="26" t="s">
        <v>425</v>
      </c>
      <c r="D315" s="13" t="s">
        <v>30</v>
      </c>
      <c r="E315" s="13" t="s">
        <v>146</v>
      </c>
      <c r="F315" s="13" t="s">
        <v>22</v>
      </c>
      <c r="G315" s="13" t="s">
        <v>119</v>
      </c>
      <c r="H315" s="13" t="s">
        <v>90</v>
      </c>
      <c r="I315" s="13" t="s">
        <v>45</v>
      </c>
      <c r="J315" s="13">
        <v>5228</v>
      </c>
      <c r="K315" s="13">
        <v>781</v>
      </c>
      <c r="L315" s="18">
        <v>4083068</v>
      </c>
    </row>
    <row r="316" spans="2:12" x14ac:dyDescent="0.3">
      <c r="B316" s="17" t="s">
        <v>364</v>
      </c>
      <c r="C316" s="26" t="s">
        <v>425</v>
      </c>
      <c r="D316" s="13" t="s">
        <v>158</v>
      </c>
      <c r="E316" s="13" t="s">
        <v>159</v>
      </c>
      <c r="F316" s="13" t="s">
        <v>22</v>
      </c>
      <c r="G316" s="13" t="s">
        <v>121</v>
      </c>
      <c r="H316" s="13" t="s">
        <v>24</v>
      </c>
      <c r="I316" s="13" t="s">
        <v>45</v>
      </c>
      <c r="J316" s="13">
        <v>7710</v>
      </c>
      <c r="K316" s="13">
        <v>954</v>
      </c>
      <c r="L316" s="18">
        <v>7355340</v>
      </c>
    </row>
    <row r="317" spans="2:12" x14ac:dyDescent="0.3">
      <c r="B317" s="17" t="s">
        <v>365</v>
      </c>
      <c r="C317" s="26" t="s">
        <v>425</v>
      </c>
      <c r="D317" s="13" t="s">
        <v>158</v>
      </c>
      <c r="E317" s="13" t="s">
        <v>159</v>
      </c>
      <c r="F317" s="13" t="s">
        <v>26</v>
      </c>
      <c r="G317" s="13" t="s">
        <v>123</v>
      </c>
      <c r="H317" s="13" t="s">
        <v>33</v>
      </c>
      <c r="I317" s="13" t="s">
        <v>45</v>
      </c>
      <c r="J317" s="13">
        <v>3333</v>
      </c>
      <c r="K317" s="13">
        <v>945</v>
      </c>
      <c r="L317" s="18">
        <v>3149685</v>
      </c>
    </row>
    <row r="318" spans="2:12" x14ac:dyDescent="0.3">
      <c r="B318" s="17" t="s">
        <v>366</v>
      </c>
      <c r="C318" s="26" t="s">
        <v>425</v>
      </c>
      <c r="D318" s="13" t="s">
        <v>158</v>
      </c>
      <c r="E318" s="13" t="s">
        <v>159</v>
      </c>
      <c r="F318" s="13" t="s">
        <v>13</v>
      </c>
      <c r="G318" s="13" t="s">
        <v>14</v>
      </c>
      <c r="H318" s="13" t="s">
        <v>14</v>
      </c>
      <c r="I318" s="13" t="s">
        <v>45</v>
      </c>
      <c r="J318" s="13">
        <v>9277</v>
      </c>
      <c r="K318" s="13">
        <v>839</v>
      </c>
      <c r="L318" s="18">
        <v>7783403</v>
      </c>
    </row>
    <row r="319" spans="2:12" x14ac:dyDescent="0.3">
      <c r="B319" s="17" t="s">
        <v>367</v>
      </c>
      <c r="C319" s="26" t="s">
        <v>425</v>
      </c>
      <c r="D319" s="13" t="s">
        <v>158</v>
      </c>
      <c r="E319" s="13" t="s">
        <v>159</v>
      </c>
      <c r="F319" s="13" t="s">
        <v>18</v>
      </c>
      <c r="G319" s="13" t="s">
        <v>19</v>
      </c>
      <c r="H319" s="13" t="s">
        <v>20</v>
      </c>
      <c r="I319" s="13" t="s">
        <v>45</v>
      </c>
      <c r="J319" s="13">
        <v>4277</v>
      </c>
      <c r="K319" s="13">
        <v>857</v>
      </c>
      <c r="L319" s="18">
        <v>3665389</v>
      </c>
    </row>
    <row r="320" spans="2:12" x14ac:dyDescent="0.3">
      <c r="B320" s="17" t="s">
        <v>368</v>
      </c>
      <c r="C320" s="26" t="s">
        <v>425</v>
      </c>
      <c r="D320" s="13" t="s">
        <v>158</v>
      </c>
      <c r="E320" s="13" t="s">
        <v>159</v>
      </c>
      <c r="F320" s="13" t="s">
        <v>13</v>
      </c>
      <c r="G320" s="13" t="s">
        <v>107</v>
      </c>
      <c r="H320" s="13" t="s">
        <v>108</v>
      </c>
      <c r="I320" s="13" t="s">
        <v>45</v>
      </c>
      <c r="J320" s="13">
        <v>1696</v>
      </c>
      <c r="K320" s="13">
        <v>868</v>
      </c>
      <c r="L320" s="18">
        <v>1472128</v>
      </c>
    </row>
    <row r="321" spans="2:12" x14ac:dyDescent="0.3">
      <c r="B321" s="17" t="s">
        <v>369</v>
      </c>
      <c r="C321" s="26" t="s">
        <v>425</v>
      </c>
      <c r="D321" s="13" t="s">
        <v>158</v>
      </c>
      <c r="E321" s="13" t="s">
        <v>159</v>
      </c>
      <c r="F321" s="13" t="s">
        <v>56</v>
      </c>
      <c r="G321" s="13" t="s">
        <v>110</v>
      </c>
      <c r="H321" s="13" t="s">
        <v>111</v>
      </c>
      <c r="I321" s="13" t="s">
        <v>45</v>
      </c>
      <c r="J321" s="13">
        <v>7071</v>
      </c>
      <c r="K321" s="13">
        <v>778</v>
      </c>
      <c r="L321" s="18">
        <v>5501238</v>
      </c>
    </row>
    <row r="322" spans="2:12" x14ac:dyDescent="0.3">
      <c r="B322" s="17" t="s">
        <v>370</v>
      </c>
      <c r="C322" s="26" t="s">
        <v>425</v>
      </c>
      <c r="D322" s="13" t="s">
        <v>158</v>
      </c>
      <c r="E322" s="13" t="s">
        <v>159</v>
      </c>
      <c r="F322" s="13" t="s">
        <v>22</v>
      </c>
      <c r="G322" s="13" t="s">
        <v>113</v>
      </c>
      <c r="H322" s="13" t="s">
        <v>24</v>
      </c>
      <c r="I322" s="13" t="s">
        <v>15</v>
      </c>
      <c r="J322" s="13">
        <v>2536</v>
      </c>
      <c r="K322" s="13">
        <v>798</v>
      </c>
      <c r="L322" s="18">
        <v>2023728</v>
      </c>
    </row>
    <row r="323" spans="2:12" x14ac:dyDescent="0.3">
      <c r="B323" s="17" t="s">
        <v>371</v>
      </c>
      <c r="C323" s="26" t="s">
        <v>425</v>
      </c>
      <c r="D323" s="13" t="s">
        <v>30</v>
      </c>
      <c r="E323" s="13" t="s">
        <v>133</v>
      </c>
      <c r="F323" s="13" t="s">
        <v>18</v>
      </c>
      <c r="G323" s="13" t="s">
        <v>74</v>
      </c>
      <c r="H323" s="13" t="s">
        <v>39</v>
      </c>
      <c r="I323" s="13" t="s">
        <v>15</v>
      </c>
      <c r="J323" s="13">
        <v>7823</v>
      </c>
      <c r="K323" s="13">
        <v>833</v>
      </c>
      <c r="L323" s="18">
        <v>6516559</v>
      </c>
    </row>
    <row r="324" spans="2:12" x14ac:dyDescent="0.3">
      <c r="B324" s="17" t="s">
        <v>372</v>
      </c>
      <c r="C324" s="26" t="s">
        <v>425</v>
      </c>
      <c r="D324" s="13" t="s">
        <v>30</v>
      </c>
      <c r="E324" s="13" t="s">
        <v>133</v>
      </c>
      <c r="F324" s="13" t="s">
        <v>13</v>
      </c>
      <c r="G324" s="13" t="s">
        <v>76</v>
      </c>
      <c r="H324" s="13" t="s">
        <v>50</v>
      </c>
      <c r="I324" s="13" t="s">
        <v>15</v>
      </c>
      <c r="J324" s="13">
        <v>7275</v>
      </c>
      <c r="K324" s="13">
        <v>776</v>
      </c>
      <c r="L324" s="18">
        <v>5645400</v>
      </c>
    </row>
    <row r="325" spans="2:12" x14ac:dyDescent="0.3">
      <c r="B325" s="17" t="s">
        <v>373</v>
      </c>
      <c r="C325" s="26" t="s">
        <v>425</v>
      </c>
      <c r="D325" s="13" t="s">
        <v>30</v>
      </c>
      <c r="E325" s="13" t="s">
        <v>133</v>
      </c>
      <c r="F325" s="13" t="s">
        <v>13</v>
      </c>
      <c r="G325" s="13" t="s">
        <v>79</v>
      </c>
      <c r="H325" s="13" t="s">
        <v>50</v>
      </c>
      <c r="I325" s="13" t="s">
        <v>15</v>
      </c>
      <c r="J325" s="13">
        <v>8910</v>
      </c>
      <c r="K325" s="13">
        <v>529</v>
      </c>
      <c r="L325" s="18">
        <v>4713390</v>
      </c>
    </row>
    <row r="326" spans="2:12" x14ac:dyDescent="0.3">
      <c r="B326" s="17" t="s">
        <v>374</v>
      </c>
      <c r="C326" s="26" t="s">
        <v>425</v>
      </c>
      <c r="D326" s="13" t="s">
        <v>30</v>
      </c>
      <c r="E326" s="13" t="s">
        <v>133</v>
      </c>
      <c r="F326" s="13" t="s">
        <v>26</v>
      </c>
      <c r="G326" s="13" t="s">
        <v>81</v>
      </c>
      <c r="H326" s="13" t="s">
        <v>28</v>
      </c>
      <c r="I326" s="13" t="s">
        <v>45</v>
      </c>
      <c r="J326" s="13">
        <v>2683</v>
      </c>
      <c r="K326" s="13">
        <v>705</v>
      </c>
      <c r="L326" s="18">
        <v>1891515</v>
      </c>
    </row>
    <row r="327" spans="2:12" x14ac:dyDescent="0.3">
      <c r="B327" s="17" t="s">
        <v>375</v>
      </c>
      <c r="C327" s="26" t="s">
        <v>425</v>
      </c>
      <c r="D327" s="13" t="s">
        <v>30</v>
      </c>
      <c r="E327" s="13" t="s">
        <v>133</v>
      </c>
      <c r="F327" s="13" t="s">
        <v>26</v>
      </c>
      <c r="G327" s="13" t="s">
        <v>83</v>
      </c>
      <c r="H327" s="13" t="s">
        <v>28</v>
      </c>
      <c r="I327" s="13" t="s">
        <v>15</v>
      </c>
      <c r="J327" s="13">
        <v>7046</v>
      </c>
      <c r="K327" s="13">
        <v>576</v>
      </c>
      <c r="L327" s="18">
        <v>4058496</v>
      </c>
    </row>
    <row r="328" spans="2:12" x14ac:dyDescent="0.3">
      <c r="B328" s="17" t="s">
        <v>376</v>
      </c>
      <c r="C328" s="26" t="s">
        <v>425</v>
      </c>
      <c r="D328" s="13" t="s">
        <v>30</v>
      </c>
      <c r="E328" s="13" t="s">
        <v>146</v>
      </c>
      <c r="F328" s="13" t="s">
        <v>13</v>
      </c>
      <c r="G328" s="13" t="s">
        <v>85</v>
      </c>
      <c r="H328" s="13" t="s">
        <v>44</v>
      </c>
      <c r="I328" s="13" t="s">
        <v>15</v>
      </c>
      <c r="J328" s="13">
        <v>9395</v>
      </c>
      <c r="K328" s="13">
        <v>922</v>
      </c>
      <c r="L328" s="18">
        <v>8662190</v>
      </c>
    </row>
    <row r="329" spans="2:12" x14ac:dyDescent="0.3">
      <c r="B329" s="17" t="s">
        <v>377</v>
      </c>
      <c r="C329" s="26" t="s">
        <v>425</v>
      </c>
      <c r="D329" s="13" t="s">
        <v>30</v>
      </c>
      <c r="E329" s="13" t="s">
        <v>146</v>
      </c>
      <c r="F329" s="13" t="s">
        <v>13</v>
      </c>
      <c r="G329" s="13" t="s">
        <v>87</v>
      </c>
      <c r="H329" s="13" t="s">
        <v>50</v>
      </c>
      <c r="I329" s="13" t="s">
        <v>15</v>
      </c>
      <c r="J329" s="13">
        <v>5242</v>
      </c>
      <c r="K329" s="13">
        <v>838</v>
      </c>
      <c r="L329" s="18">
        <v>4392796</v>
      </c>
    </row>
    <row r="330" spans="2:12" x14ac:dyDescent="0.3">
      <c r="B330" s="17" t="s">
        <v>378</v>
      </c>
      <c r="C330" s="26" t="s">
        <v>425</v>
      </c>
      <c r="D330" s="13" t="s">
        <v>30</v>
      </c>
      <c r="E330" s="13" t="s">
        <v>146</v>
      </c>
      <c r="F330" s="13" t="s">
        <v>22</v>
      </c>
      <c r="G330" s="13" t="s">
        <v>89</v>
      </c>
      <c r="H330" s="13" t="s">
        <v>90</v>
      </c>
      <c r="I330" s="13" t="s">
        <v>15</v>
      </c>
      <c r="J330" s="13">
        <v>9909</v>
      </c>
      <c r="K330" s="13">
        <v>657</v>
      </c>
      <c r="L330" s="18">
        <v>6510213</v>
      </c>
    </row>
    <row r="331" spans="2:12" x14ac:dyDescent="0.3">
      <c r="B331" s="17" t="s">
        <v>379</v>
      </c>
      <c r="C331" s="26" t="s">
        <v>425</v>
      </c>
      <c r="D331" s="13" t="s">
        <v>30</v>
      </c>
      <c r="E331" s="13" t="s">
        <v>146</v>
      </c>
      <c r="F331" s="13" t="s">
        <v>26</v>
      </c>
      <c r="G331" s="13" t="s">
        <v>92</v>
      </c>
      <c r="H331" s="13" t="s">
        <v>93</v>
      </c>
      <c r="I331" s="13" t="s">
        <v>45</v>
      </c>
      <c r="J331" s="13">
        <v>2005</v>
      </c>
      <c r="K331" s="13">
        <v>748</v>
      </c>
      <c r="L331" s="18">
        <v>1499740</v>
      </c>
    </row>
    <row r="332" spans="2:12" x14ac:dyDescent="0.3">
      <c r="B332" s="17" t="s">
        <v>380</v>
      </c>
      <c r="C332" s="26" t="s">
        <v>425</v>
      </c>
      <c r="D332" s="13" t="s">
        <v>30</v>
      </c>
      <c r="E332" s="13" t="s">
        <v>146</v>
      </c>
      <c r="F332" s="13" t="s">
        <v>18</v>
      </c>
      <c r="G332" s="13" t="s">
        <v>95</v>
      </c>
      <c r="H332" s="13" t="s">
        <v>20</v>
      </c>
      <c r="I332" s="13" t="s">
        <v>45</v>
      </c>
      <c r="J332" s="13">
        <v>1891</v>
      </c>
      <c r="K332" s="13">
        <v>953</v>
      </c>
      <c r="L332" s="18">
        <v>1802123</v>
      </c>
    </row>
    <row r="333" spans="2:12" x14ac:dyDescent="0.3">
      <c r="B333" s="17" t="s">
        <v>381</v>
      </c>
      <c r="C333" s="26" t="s">
        <v>425</v>
      </c>
      <c r="D333" s="13" t="s">
        <v>30</v>
      </c>
      <c r="E333" s="13" t="s">
        <v>146</v>
      </c>
      <c r="F333" s="13" t="s">
        <v>13</v>
      </c>
      <c r="G333" s="13" t="s">
        <v>97</v>
      </c>
      <c r="H333" s="13" t="s">
        <v>98</v>
      </c>
      <c r="I333" s="13" t="s">
        <v>45</v>
      </c>
      <c r="J333" s="13">
        <v>6839</v>
      </c>
      <c r="K333" s="13">
        <v>909</v>
      </c>
      <c r="L333" s="18">
        <v>6216651</v>
      </c>
    </row>
    <row r="334" spans="2:12" x14ac:dyDescent="0.3">
      <c r="B334" s="17" t="s">
        <v>271</v>
      </c>
      <c r="C334" s="26" t="s">
        <v>425</v>
      </c>
      <c r="D334" s="13" t="s">
        <v>158</v>
      </c>
      <c r="E334" s="13" t="s">
        <v>178</v>
      </c>
      <c r="F334" s="13" t="s">
        <v>13</v>
      </c>
      <c r="G334" s="13" t="s">
        <v>100</v>
      </c>
      <c r="H334" s="13" t="s">
        <v>101</v>
      </c>
      <c r="I334" s="13" t="s">
        <v>45</v>
      </c>
      <c r="J334" s="13">
        <v>8854</v>
      </c>
      <c r="K334" s="13">
        <v>944</v>
      </c>
      <c r="L334" s="18">
        <v>8358176</v>
      </c>
    </row>
    <row r="335" spans="2:12" x14ac:dyDescent="0.3">
      <c r="B335" s="17" t="s">
        <v>382</v>
      </c>
      <c r="C335" s="26" t="s">
        <v>425</v>
      </c>
      <c r="D335" s="13" t="s">
        <v>158</v>
      </c>
      <c r="E335" s="13" t="s">
        <v>178</v>
      </c>
      <c r="F335" s="13" t="s">
        <v>103</v>
      </c>
      <c r="G335" s="13" t="s">
        <v>104</v>
      </c>
      <c r="H335" s="13" t="s">
        <v>105</v>
      </c>
      <c r="I335" s="13" t="s">
        <v>45</v>
      </c>
      <c r="J335" s="13">
        <v>8143</v>
      </c>
      <c r="K335" s="13">
        <v>786</v>
      </c>
      <c r="L335" s="18">
        <v>6400398</v>
      </c>
    </row>
    <row r="336" spans="2:12" x14ac:dyDescent="0.3">
      <c r="B336" s="17" t="s">
        <v>383</v>
      </c>
      <c r="C336" s="26" t="s">
        <v>425</v>
      </c>
      <c r="D336" s="13" t="s">
        <v>158</v>
      </c>
      <c r="E336" s="13" t="s">
        <v>178</v>
      </c>
      <c r="F336" s="13" t="s">
        <v>13</v>
      </c>
      <c r="G336" s="13" t="s">
        <v>107</v>
      </c>
      <c r="H336" s="13" t="s">
        <v>108</v>
      </c>
      <c r="I336" s="13" t="s">
        <v>45</v>
      </c>
      <c r="J336" s="13">
        <v>8069</v>
      </c>
      <c r="K336" s="13">
        <v>553</v>
      </c>
      <c r="L336" s="18">
        <v>4462157</v>
      </c>
    </row>
    <row r="337" spans="2:12" x14ac:dyDescent="0.3">
      <c r="B337" s="17" t="s">
        <v>230</v>
      </c>
      <c r="C337" s="26" t="s">
        <v>425</v>
      </c>
      <c r="D337" s="13" t="s">
        <v>158</v>
      </c>
      <c r="E337" s="13" t="s">
        <v>178</v>
      </c>
      <c r="F337" s="13" t="s">
        <v>56</v>
      </c>
      <c r="G337" s="13" t="s">
        <v>110</v>
      </c>
      <c r="H337" s="13" t="s">
        <v>111</v>
      </c>
      <c r="I337" s="13" t="s">
        <v>45</v>
      </c>
      <c r="J337" s="13">
        <v>2268</v>
      </c>
      <c r="K337" s="13">
        <v>911</v>
      </c>
      <c r="L337" s="18">
        <v>2066148</v>
      </c>
    </row>
    <row r="338" spans="2:12" x14ac:dyDescent="0.3">
      <c r="B338" s="17" t="s">
        <v>384</v>
      </c>
      <c r="C338" s="26" t="s">
        <v>425</v>
      </c>
      <c r="D338" s="13" t="s">
        <v>158</v>
      </c>
      <c r="E338" s="13" t="s">
        <v>178</v>
      </c>
      <c r="F338" s="13" t="s">
        <v>22</v>
      </c>
      <c r="G338" s="13" t="s">
        <v>113</v>
      </c>
      <c r="H338" s="13" t="s">
        <v>24</v>
      </c>
      <c r="I338" s="13" t="s">
        <v>45</v>
      </c>
      <c r="J338" s="13">
        <v>2576</v>
      </c>
      <c r="K338" s="13">
        <v>987</v>
      </c>
      <c r="L338" s="18">
        <v>2542512</v>
      </c>
    </row>
    <row r="339" spans="2:12" x14ac:dyDescent="0.3">
      <c r="B339" s="17" t="s">
        <v>228</v>
      </c>
      <c r="C339" s="26" t="s">
        <v>425</v>
      </c>
      <c r="D339" s="13" t="s">
        <v>158</v>
      </c>
      <c r="E339" s="13" t="s">
        <v>178</v>
      </c>
      <c r="F339" s="13" t="s">
        <v>22</v>
      </c>
      <c r="G339" s="13" t="s">
        <v>23</v>
      </c>
      <c r="H339" s="13" t="s">
        <v>24</v>
      </c>
      <c r="I339" s="13" t="s">
        <v>45</v>
      </c>
      <c r="J339" s="13">
        <v>7694</v>
      </c>
      <c r="K339" s="13">
        <v>907</v>
      </c>
      <c r="L339" s="18">
        <v>6978458</v>
      </c>
    </row>
    <row r="340" spans="2:12" x14ac:dyDescent="0.3">
      <c r="B340" s="17" t="s">
        <v>385</v>
      </c>
      <c r="C340" s="26" t="s">
        <v>426</v>
      </c>
      <c r="D340" s="13" t="s">
        <v>158</v>
      </c>
      <c r="E340" s="13" t="s">
        <v>178</v>
      </c>
      <c r="F340" s="13" t="s">
        <v>56</v>
      </c>
      <c r="G340" s="13" t="s">
        <v>117</v>
      </c>
      <c r="H340" s="13" t="s">
        <v>58</v>
      </c>
      <c r="I340" s="13" t="s">
        <v>45</v>
      </c>
      <c r="J340" s="13">
        <v>8952</v>
      </c>
      <c r="K340" s="13">
        <v>760</v>
      </c>
      <c r="L340" s="18">
        <v>6803520</v>
      </c>
    </row>
    <row r="341" spans="2:12" x14ac:dyDescent="0.3">
      <c r="B341" s="17" t="s">
        <v>386</v>
      </c>
      <c r="C341" s="26" t="s">
        <v>426</v>
      </c>
      <c r="D341" s="13" t="s">
        <v>158</v>
      </c>
      <c r="E341" s="13" t="s">
        <v>178</v>
      </c>
      <c r="F341" s="13" t="s">
        <v>22</v>
      </c>
      <c r="G341" s="13" t="s">
        <v>119</v>
      </c>
      <c r="H341" s="13" t="s">
        <v>90</v>
      </c>
      <c r="I341" s="13" t="s">
        <v>15</v>
      </c>
      <c r="J341" s="13">
        <v>5764</v>
      </c>
      <c r="K341" s="13">
        <v>622</v>
      </c>
      <c r="L341" s="18">
        <v>3585208</v>
      </c>
    </row>
    <row r="342" spans="2:12" x14ac:dyDescent="0.3">
      <c r="B342" s="17" t="s">
        <v>387</v>
      </c>
      <c r="C342" s="26" t="s">
        <v>426</v>
      </c>
      <c r="D342" s="13" t="s">
        <v>158</v>
      </c>
      <c r="E342" s="13" t="s">
        <v>178</v>
      </c>
      <c r="F342" s="13" t="s">
        <v>22</v>
      </c>
      <c r="G342" s="13" t="s">
        <v>121</v>
      </c>
      <c r="H342" s="13" t="s">
        <v>24</v>
      </c>
      <c r="I342" s="13" t="s">
        <v>15</v>
      </c>
      <c r="J342" s="13">
        <v>9098</v>
      </c>
      <c r="K342" s="13">
        <v>677</v>
      </c>
      <c r="L342" s="18">
        <v>6159346</v>
      </c>
    </row>
    <row r="343" spans="2:12" x14ac:dyDescent="0.3">
      <c r="B343" s="17" t="s">
        <v>388</v>
      </c>
      <c r="C343" s="26" t="s">
        <v>426</v>
      </c>
      <c r="D343" s="13" t="s">
        <v>158</v>
      </c>
      <c r="E343" s="13" t="s">
        <v>178</v>
      </c>
      <c r="F343" s="13" t="s">
        <v>13</v>
      </c>
      <c r="G343" s="13" t="s">
        <v>87</v>
      </c>
      <c r="H343" s="13" t="s">
        <v>50</v>
      </c>
      <c r="I343" s="13" t="s">
        <v>15</v>
      </c>
      <c r="J343" s="13">
        <v>2777</v>
      </c>
      <c r="K343" s="13">
        <v>986</v>
      </c>
      <c r="L343" s="18">
        <v>2738122</v>
      </c>
    </row>
    <row r="344" spans="2:12" x14ac:dyDescent="0.3">
      <c r="B344" s="17" t="s">
        <v>389</v>
      </c>
      <c r="C344" s="26" t="s">
        <v>426</v>
      </c>
      <c r="D344" s="13" t="s">
        <v>158</v>
      </c>
      <c r="E344" s="13" t="s">
        <v>178</v>
      </c>
      <c r="F344" s="13" t="s">
        <v>22</v>
      </c>
      <c r="G344" s="13" t="s">
        <v>89</v>
      </c>
      <c r="H344" s="13" t="s">
        <v>90</v>
      </c>
      <c r="I344" s="13" t="s">
        <v>15</v>
      </c>
      <c r="J344" s="13">
        <v>9218</v>
      </c>
      <c r="K344" s="13">
        <v>927</v>
      </c>
      <c r="L344" s="18">
        <v>8545086</v>
      </c>
    </row>
    <row r="345" spans="2:12" x14ac:dyDescent="0.3">
      <c r="B345" s="17" t="s">
        <v>390</v>
      </c>
      <c r="C345" s="26" t="s">
        <v>426</v>
      </c>
      <c r="D345" s="13" t="s">
        <v>158</v>
      </c>
      <c r="E345" s="13" t="s">
        <v>178</v>
      </c>
      <c r="F345" s="13" t="s">
        <v>26</v>
      </c>
      <c r="G345" s="13" t="s">
        <v>92</v>
      </c>
      <c r="H345" s="13" t="s">
        <v>93</v>
      </c>
      <c r="I345" s="13" t="s">
        <v>15</v>
      </c>
      <c r="J345" s="13">
        <v>6785</v>
      </c>
      <c r="K345" s="13">
        <v>751</v>
      </c>
      <c r="L345" s="18">
        <v>5095535</v>
      </c>
    </row>
    <row r="346" spans="2:12" x14ac:dyDescent="0.3">
      <c r="B346" s="17" t="s">
        <v>391</v>
      </c>
      <c r="C346" s="26" t="s">
        <v>426</v>
      </c>
      <c r="D346" s="13" t="s">
        <v>11</v>
      </c>
      <c r="E346" s="13" t="s">
        <v>116</v>
      </c>
      <c r="F346" s="13" t="s">
        <v>18</v>
      </c>
      <c r="G346" s="13" t="s">
        <v>95</v>
      </c>
      <c r="H346" s="13" t="s">
        <v>20</v>
      </c>
      <c r="I346" s="13" t="s">
        <v>45</v>
      </c>
      <c r="J346" s="13">
        <v>1980</v>
      </c>
      <c r="K346" s="13">
        <v>648</v>
      </c>
      <c r="L346" s="18">
        <v>1283040</v>
      </c>
    </row>
    <row r="347" spans="2:12" x14ac:dyDescent="0.3">
      <c r="B347" s="17" t="s">
        <v>392</v>
      </c>
      <c r="C347" s="26" t="s">
        <v>426</v>
      </c>
      <c r="D347" s="13" t="s">
        <v>11</v>
      </c>
      <c r="E347" s="13" t="s">
        <v>116</v>
      </c>
      <c r="F347" s="13" t="s">
        <v>13</v>
      </c>
      <c r="G347" s="13" t="s">
        <v>97</v>
      </c>
      <c r="H347" s="13" t="s">
        <v>98</v>
      </c>
      <c r="I347" s="13" t="s">
        <v>45</v>
      </c>
      <c r="J347" s="13">
        <v>6082</v>
      </c>
      <c r="K347" s="13">
        <v>810</v>
      </c>
      <c r="L347" s="18">
        <v>4926420</v>
      </c>
    </row>
    <row r="348" spans="2:12" x14ac:dyDescent="0.3">
      <c r="B348" s="17" t="s">
        <v>393</v>
      </c>
      <c r="C348" s="26" t="s">
        <v>426</v>
      </c>
      <c r="D348" s="13" t="s">
        <v>11</v>
      </c>
      <c r="E348" s="13" t="s">
        <v>116</v>
      </c>
      <c r="F348" s="13" t="s">
        <v>13</v>
      </c>
      <c r="G348" s="13" t="s">
        <v>100</v>
      </c>
      <c r="H348" s="13" t="s">
        <v>101</v>
      </c>
      <c r="I348" s="13" t="s">
        <v>45</v>
      </c>
      <c r="J348" s="13">
        <v>9433</v>
      </c>
      <c r="K348" s="13">
        <v>540</v>
      </c>
      <c r="L348" s="18">
        <v>5093820</v>
      </c>
    </row>
    <row r="349" spans="2:12" x14ac:dyDescent="0.3">
      <c r="B349" s="17" t="s">
        <v>394</v>
      </c>
      <c r="C349" s="26" t="s">
        <v>426</v>
      </c>
      <c r="D349" s="13" t="s">
        <v>11</v>
      </c>
      <c r="E349" s="13" t="s">
        <v>116</v>
      </c>
      <c r="F349" s="13" t="s">
        <v>103</v>
      </c>
      <c r="G349" s="13" t="s">
        <v>104</v>
      </c>
      <c r="H349" s="13" t="s">
        <v>105</v>
      </c>
      <c r="I349" s="13" t="s">
        <v>15</v>
      </c>
      <c r="J349" s="13">
        <v>5549</v>
      </c>
      <c r="K349" s="13">
        <v>973</v>
      </c>
      <c r="L349" s="18">
        <v>5399177</v>
      </c>
    </row>
    <row r="350" spans="2:12" x14ac:dyDescent="0.3">
      <c r="B350" s="17" t="s">
        <v>395</v>
      </c>
      <c r="C350" s="26" t="s">
        <v>426</v>
      </c>
      <c r="D350" s="13" t="s">
        <v>11</v>
      </c>
      <c r="E350" s="13" t="s">
        <v>116</v>
      </c>
      <c r="F350" s="13" t="s">
        <v>13</v>
      </c>
      <c r="G350" s="13" t="s">
        <v>107</v>
      </c>
      <c r="H350" s="13" t="s">
        <v>108</v>
      </c>
      <c r="I350" s="13" t="s">
        <v>15</v>
      </c>
      <c r="J350" s="13">
        <v>2572</v>
      </c>
      <c r="K350" s="13">
        <v>777</v>
      </c>
      <c r="L350" s="18">
        <v>1998444</v>
      </c>
    </row>
    <row r="351" spans="2:12" x14ac:dyDescent="0.3">
      <c r="B351" s="17" t="s">
        <v>396</v>
      </c>
      <c r="C351" s="26" t="s">
        <v>426</v>
      </c>
      <c r="D351" s="13" t="s">
        <v>11</v>
      </c>
      <c r="E351" s="13" t="s">
        <v>116</v>
      </c>
      <c r="F351" s="13" t="s">
        <v>56</v>
      </c>
      <c r="G351" s="13" t="s">
        <v>110</v>
      </c>
      <c r="H351" s="13" t="s">
        <v>111</v>
      </c>
      <c r="I351" s="13" t="s">
        <v>15</v>
      </c>
      <c r="J351" s="13">
        <v>5503</v>
      </c>
      <c r="K351" s="13">
        <v>717</v>
      </c>
      <c r="L351" s="18">
        <v>3945651</v>
      </c>
    </row>
    <row r="352" spans="2:12" x14ac:dyDescent="0.3">
      <c r="B352" s="17" t="s">
        <v>397</v>
      </c>
      <c r="C352" s="26" t="s">
        <v>426</v>
      </c>
      <c r="D352" s="13" t="s">
        <v>11</v>
      </c>
      <c r="E352" s="13" t="s">
        <v>116</v>
      </c>
      <c r="F352" s="13" t="s">
        <v>22</v>
      </c>
      <c r="G352" s="13" t="s">
        <v>113</v>
      </c>
      <c r="H352" s="13" t="s">
        <v>24</v>
      </c>
      <c r="I352" s="13" t="s">
        <v>15</v>
      </c>
      <c r="J352" s="13">
        <v>5562</v>
      </c>
      <c r="K352" s="13">
        <v>986</v>
      </c>
      <c r="L352" s="18">
        <v>5484132</v>
      </c>
    </row>
    <row r="353" spans="2:12" x14ac:dyDescent="0.3">
      <c r="B353" s="17" t="s">
        <v>398</v>
      </c>
      <c r="C353" s="26" t="s">
        <v>426</v>
      </c>
      <c r="D353" s="13" t="s">
        <v>11</v>
      </c>
      <c r="E353" s="13" t="s">
        <v>116</v>
      </c>
      <c r="F353" s="13" t="s">
        <v>22</v>
      </c>
      <c r="G353" s="13" t="s">
        <v>23</v>
      </c>
      <c r="H353" s="13" t="s">
        <v>24</v>
      </c>
      <c r="I353" s="13" t="s">
        <v>15</v>
      </c>
      <c r="J353" s="13">
        <v>3673</v>
      </c>
      <c r="K353" s="13">
        <v>855</v>
      </c>
      <c r="L353" s="18">
        <v>3140415</v>
      </c>
    </row>
    <row r="354" spans="2:12" x14ac:dyDescent="0.3">
      <c r="B354" s="17" t="s">
        <v>399</v>
      </c>
      <c r="C354" s="26" t="s">
        <v>426</v>
      </c>
      <c r="D354" s="13" t="s">
        <v>11</v>
      </c>
      <c r="E354" s="13" t="s">
        <v>116</v>
      </c>
      <c r="F354" s="13" t="s">
        <v>56</v>
      </c>
      <c r="G354" s="13" t="s">
        <v>117</v>
      </c>
      <c r="H354" s="13" t="s">
        <v>58</v>
      </c>
      <c r="I354" s="13" t="s">
        <v>45</v>
      </c>
      <c r="J354" s="13">
        <v>2344</v>
      </c>
      <c r="K354" s="13">
        <v>536</v>
      </c>
      <c r="L354" s="18">
        <v>1256384</v>
      </c>
    </row>
    <row r="355" spans="2:12" x14ac:dyDescent="0.3">
      <c r="B355" s="17" t="s">
        <v>400</v>
      </c>
      <c r="C355" s="26" t="s">
        <v>426</v>
      </c>
      <c r="D355" s="13" t="s">
        <v>11</v>
      </c>
      <c r="E355" s="13" t="s">
        <v>116</v>
      </c>
      <c r="F355" s="13" t="s">
        <v>22</v>
      </c>
      <c r="G355" s="13" t="s">
        <v>119</v>
      </c>
      <c r="H355" s="13" t="s">
        <v>90</v>
      </c>
      <c r="I355" s="13" t="s">
        <v>45</v>
      </c>
      <c r="J355" s="13">
        <v>6278</v>
      </c>
      <c r="K355" s="13">
        <v>540</v>
      </c>
      <c r="L355" s="18">
        <v>3390120</v>
      </c>
    </row>
    <row r="356" spans="2:12" x14ac:dyDescent="0.3">
      <c r="B356" s="17" t="s">
        <v>401</v>
      </c>
      <c r="C356" s="26" t="s">
        <v>426</v>
      </c>
      <c r="D356" s="13" t="s">
        <v>11</v>
      </c>
      <c r="E356" s="13" t="s">
        <v>116</v>
      </c>
      <c r="F356" s="13" t="s">
        <v>18</v>
      </c>
      <c r="G356" s="13" t="s">
        <v>74</v>
      </c>
      <c r="H356" s="13" t="s">
        <v>39</v>
      </c>
      <c r="I356" s="13" t="s">
        <v>45</v>
      </c>
      <c r="J356" s="13">
        <v>9561</v>
      </c>
      <c r="K356" s="13">
        <v>674</v>
      </c>
      <c r="L356" s="18">
        <v>6444114</v>
      </c>
    </row>
    <row r="357" spans="2:12" x14ac:dyDescent="0.3">
      <c r="B357" s="17" t="s">
        <v>402</v>
      </c>
      <c r="C357" s="26" t="s">
        <v>426</v>
      </c>
      <c r="D357" s="13" t="s">
        <v>30</v>
      </c>
      <c r="E357" s="13" t="s">
        <v>133</v>
      </c>
      <c r="F357" s="13" t="s">
        <v>13</v>
      </c>
      <c r="G357" s="13" t="s">
        <v>76</v>
      </c>
      <c r="H357" s="13" t="s">
        <v>50</v>
      </c>
      <c r="I357" s="13" t="s">
        <v>45</v>
      </c>
      <c r="J357" s="13">
        <v>2952</v>
      </c>
      <c r="K357" s="13">
        <v>640</v>
      </c>
      <c r="L357" s="18">
        <v>1889280</v>
      </c>
    </row>
    <row r="358" spans="2:12" x14ac:dyDescent="0.3">
      <c r="B358" s="17" t="s">
        <v>403</v>
      </c>
      <c r="C358" s="26" t="s">
        <v>426</v>
      </c>
      <c r="D358" s="13" t="s">
        <v>30</v>
      </c>
      <c r="E358" s="13" t="s">
        <v>133</v>
      </c>
      <c r="F358" s="13" t="s">
        <v>13</v>
      </c>
      <c r="G358" s="13" t="s">
        <v>79</v>
      </c>
      <c r="H358" s="13" t="s">
        <v>50</v>
      </c>
      <c r="I358" s="13" t="s">
        <v>45</v>
      </c>
      <c r="J358" s="13">
        <v>5507</v>
      </c>
      <c r="K358" s="13">
        <v>618</v>
      </c>
      <c r="L358" s="18">
        <v>3403326</v>
      </c>
    </row>
    <row r="359" spans="2:12" x14ac:dyDescent="0.3">
      <c r="B359" s="17" t="s">
        <v>404</v>
      </c>
      <c r="C359" s="26" t="s">
        <v>426</v>
      </c>
      <c r="D359" s="13" t="s">
        <v>30</v>
      </c>
      <c r="E359" s="13" t="s">
        <v>133</v>
      </c>
      <c r="F359" s="13" t="s">
        <v>26</v>
      </c>
      <c r="G359" s="13" t="s">
        <v>81</v>
      </c>
      <c r="H359" s="13" t="s">
        <v>28</v>
      </c>
      <c r="I359" s="13" t="s">
        <v>45</v>
      </c>
      <c r="J359" s="13">
        <v>9862</v>
      </c>
      <c r="K359" s="13">
        <v>755</v>
      </c>
      <c r="L359" s="18">
        <v>7445810</v>
      </c>
    </row>
    <row r="360" spans="2:12" x14ac:dyDescent="0.3">
      <c r="B360" s="17" t="s">
        <v>405</v>
      </c>
      <c r="C360" s="26" t="s">
        <v>426</v>
      </c>
      <c r="D360" s="13" t="s">
        <v>30</v>
      </c>
      <c r="E360" s="13" t="s">
        <v>133</v>
      </c>
      <c r="F360" s="13" t="s">
        <v>26</v>
      </c>
      <c r="G360" s="13" t="s">
        <v>83</v>
      </c>
      <c r="H360" s="13" t="s">
        <v>28</v>
      </c>
      <c r="I360" s="13" t="s">
        <v>45</v>
      </c>
      <c r="J360" s="13">
        <v>9694</v>
      </c>
      <c r="K360" s="13">
        <v>829</v>
      </c>
      <c r="L360" s="18">
        <v>8036326</v>
      </c>
    </row>
    <row r="361" spans="2:12" x14ac:dyDescent="0.3">
      <c r="B361" s="17" t="s">
        <v>406</v>
      </c>
      <c r="C361" s="26" t="s">
        <v>426</v>
      </c>
      <c r="D361" s="13" t="s">
        <v>30</v>
      </c>
      <c r="E361" s="13" t="s">
        <v>133</v>
      </c>
      <c r="F361" s="13" t="s">
        <v>13</v>
      </c>
      <c r="G361" s="13" t="s">
        <v>85</v>
      </c>
      <c r="H361" s="13" t="s">
        <v>44</v>
      </c>
      <c r="I361" s="13" t="s">
        <v>15</v>
      </c>
      <c r="J361" s="13">
        <v>6821</v>
      </c>
      <c r="K361" s="13">
        <v>919</v>
      </c>
      <c r="L361" s="18">
        <v>6268499</v>
      </c>
    </row>
    <row r="362" spans="2:12" x14ac:dyDescent="0.3">
      <c r="B362" s="17" t="s">
        <v>407</v>
      </c>
      <c r="C362" s="26" t="s">
        <v>426</v>
      </c>
      <c r="D362" s="13" t="s">
        <v>30</v>
      </c>
      <c r="E362" s="13" t="s">
        <v>133</v>
      </c>
      <c r="F362" s="13" t="s">
        <v>13</v>
      </c>
      <c r="G362" s="13" t="s">
        <v>87</v>
      </c>
      <c r="H362" s="13" t="s">
        <v>50</v>
      </c>
      <c r="I362" s="13" t="s">
        <v>15</v>
      </c>
      <c r="J362" s="13">
        <v>7329</v>
      </c>
      <c r="K362" s="13">
        <v>778</v>
      </c>
      <c r="L362" s="18">
        <v>5701962</v>
      </c>
    </row>
    <row r="363" spans="2:12" x14ac:dyDescent="0.3">
      <c r="B363" s="17" t="s">
        <v>408</v>
      </c>
      <c r="C363" s="26" t="s">
        <v>426</v>
      </c>
      <c r="D363" s="13" t="s">
        <v>30</v>
      </c>
      <c r="E363" s="13" t="s">
        <v>133</v>
      </c>
      <c r="F363" s="13" t="s">
        <v>22</v>
      </c>
      <c r="G363" s="13" t="s">
        <v>89</v>
      </c>
      <c r="H363" s="13" t="s">
        <v>90</v>
      </c>
      <c r="I363" s="13" t="s">
        <v>15</v>
      </c>
      <c r="J363" s="13">
        <v>6427</v>
      </c>
      <c r="K363" s="13">
        <v>825</v>
      </c>
      <c r="L363" s="18">
        <v>5302275</v>
      </c>
    </row>
    <row r="364" spans="2:12" x14ac:dyDescent="0.3">
      <c r="B364" s="17" t="s">
        <v>409</v>
      </c>
      <c r="C364" s="26" t="s">
        <v>426</v>
      </c>
      <c r="D364" s="13" t="s">
        <v>30</v>
      </c>
      <c r="E364" s="13" t="s">
        <v>133</v>
      </c>
      <c r="F364" s="13" t="s">
        <v>26</v>
      </c>
      <c r="G364" s="13" t="s">
        <v>92</v>
      </c>
      <c r="H364" s="13" t="s">
        <v>93</v>
      </c>
      <c r="I364" s="13" t="s">
        <v>15</v>
      </c>
      <c r="J364" s="13">
        <v>8915</v>
      </c>
      <c r="K364" s="13">
        <v>586</v>
      </c>
      <c r="L364" s="18">
        <v>5224190</v>
      </c>
    </row>
    <row r="365" spans="2:12" x14ac:dyDescent="0.3">
      <c r="B365" s="17" t="s">
        <v>410</v>
      </c>
      <c r="C365" s="26" t="s">
        <v>426</v>
      </c>
      <c r="D365" s="13" t="s">
        <v>30</v>
      </c>
      <c r="E365" s="13" t="s">
        <v>133</v>
      </c>
      <c r="F365" s="13" t="s">
        <v>18</v>
      </c>
      <c r="G365" s="13" t="s">
        <v>95</v>
      </c>
      <c r="H365" s="13" t="s">
        <v>20</v>
      </c>
      <c r="I365" s="13" t="s">
        <v>45</v>
      </c>
      <c r="J365" s="13">
        <v>4848</v>
      </c>
      <c r="K365" s="13">
        <v>556</v>
      </c>
      <c r="L365" s="18">
        <v>2695488</v>
      </c>
    </row>
    <row r="366" spans="2:12" x14ac:dyDescent="0.3">
      <c r="B366" s="17" t="s">
        <v>411</v>
      </c>
      <c r="C366" s="26" t="s">
        <v>426</v>
      </c>
      <c r="D366" s="13" t="s">
        <v>30</v>
      </c>
      <c r="E366" s="13" t="s">
        <v>133</v>
      </c>
      <c r="F366" s="13" t="s">
        <v>13</v>
      </c>
      <c r="G366" s="13" t="s">
        <v>97</v>
      </c>
      <c r="H366" s="13" t="s">
        <v>98</v>
      </c>
      <c r="I366" s="13" t="s">
        <v>15</v>
      </c>
      <c r="J366" s="13">
        <v>5990</v>
      </c>
      <c r="K366" s="13">
        <v>859</v>
      </c>
      <c r="L366" s="18">
        <v>5145410</v>
      </c>
    </row>
    <row r="367" spans="2:12" x14ac:dyDescent="0.3">
      <c r="B367" s="17" t="s">
        <v>412</v>
      </c>
      <c r="C367" s="26" t="s">
        <v>426</v>
      </c>
      <c r="D367" s="13" t="s">
        <v>30</v>
      </c>
      <c r="E367" s="13" t="s">
        <v>133</v>
      </c>
      <c r="F367" s="13" t="s">
        <v>13</v>
      </c>
      <c r="G367" s="13" t="s">
        <v>100</v>
      </c>
      <c r="H367" s="13" t="s">
        <v>101</v>
      </c>
      <c r="I367" s="13" t="s">
        <v>15</v>
      </c>
      <c r="J367" s="13">
        <v>6726</v>
      </c>
      <c r="K367" s="13">
        <v>900</v>
      </c>
      <c r="L367" s="18">
        <v>6053400</v>
      </c>
    </row>
    <row r="368" spans="2:12" x14ac:dyDescent="0.3">
      <c r="B368" s="17" t="s">
        <v>413</v>
      </c>
      <c r="C368" s="26" t="s">
        <v>426</v>
      </c>
      <c r="D368" s="13" t="s">
        <v>30</v>
      </c>
      <c r="E368" s="13" t="s">
        <v>133</v>
      </c>
      <c r="F368" s="13" t="s">
        <v>103</v>
      </c>
      <c r="G368" s="13" t="s">
        <v>104</v>
      </c>
      <c r="H368" s="13" t="s">
        <v>105</v>
      </c>
      <c r="I368" s="13" t="s">
        <v>15</v>
      </c>
      <c r="J368" s="13">
        <v>5686</v>
      </c>
      <c r="K368" s="13">
        <v>731</v>
      </c>
      <c r="L368" s="18">
        <v>4156466</v>
      </c>
    </row>
    <row r="369" spans="2:12" x14ac:dyDescent="0.3">
      <c r="B369" s="17" t="s">
        <v>414</v>
      </c>
      <c r="C369" s="26" t="s">
        <v>426</v>
      </c>
      <c r="D369" s="13" t="s">
        <v>30</v>
      </c>
      <c r="E369" s="13" t="s">
        <v>146</v>
      </c>
      <c r="F369" s="13" t="s">
        <v>13</v>
      </c>
      <c r="G369" s="13" t="s">
        <v>107</v>
      </c>
      <c r="H369" s="13" t="s">
        <v>108</v>
      </c>
      <c r="I369" s="13" t="s">
        <v>15</v>
      </c>
      <c r="J369" s="13">
        <v>5246</v>
      </c>
      <c r="K369" s="13">
        <v>653</v>
      </c>
      <c r="L369" s="18">
        <v>3425638</v>
      </c>
    </row>
    <row r="370" spans="2:12" x14ac:dyDescent="0.3">
      <c r="B370" s="17" t="s">
        <v>161</v>
      </c>
      <c r="C370" s="26" t="s">
        <v>426</v>
      </c>
      <c r="D370" s="13" t="s">
        <v>158</v>
      </c>
      <c r="E370" s="13" t="s">
        <v>159</v>
      </c>
      <c r="F370" s="13" t="s">
        <v>56</v>
      </c>
      <c r="G370" s="13" t="s">
        <v>110</v>
      </c>
      <c r="H370" s="13" t="s">
        <v>111</v>
      </c>
      <c r="I370" s="13" t="s">
        <v>45</v>
      </c>
      <c r="J370" s="13">
        <v>6124</v>
      </c>
      <c r="K370" s="13">
        <v>634</v>
      </c>
      <c r="L370" s="18">
        <v>3882616</v>
      </c>
    </row>
    <row r="371" spans="2:12" x14ac:dyDescent="0.3">
      <c r="B371" s="17" t="s">
        <v>162</v>
      </c>
      <c r="C371" s="26" t="s">
        <v>426</v>
      </c>
      <c r="D371" s="13" t="s">
        <v>158</v>
      </c>
      <c r="E371" s="13" t="s">
        <v>159</v>
      </c>
      <c r="F371" s="13" t="s">
        <v>22</v>
      </c>
      <c r="G371" s="13" t="s">
        <v>113</v>
      </c>
      <c r="H371" s="13" t="s">
        <v>24</v>
      </c>
      <c r="I371" s="13" t="s">
        <v>45</v>
      </c>
      <c r="J371" s="13">
        <v>6233</v>
      </c>
      <c r="K371" s="13">
        <v>675</v>
      </c>
      <c r="L371" s="18">
        <v>4207275</v>
      </c>
    </row>
    <row r="372" spans="2:12" x14ac:dyDescent="0.3">
      <c r="B372" s="17" t="s">
        <v>163</v>
      </c>
      <c r="C372" s="26" t="s">
        <v>426</v>
      </c>
      <c r="D372" s="13" t="s">
        <v>158</v>
      </c>
      <c r="E372" s="13" t="s">
        <v>159</v>
      </c>
      <c r="F372" s="13" t="s">
        <v>22</v>
      </c>
      <c r="G372" s="13" t="s">
        <v>23</v>
      </c>
      <c r="H372" s="13" t="s">
        <v>24</v>
      </c>
      <c r="I372" s="13" t="s">
        <v>45</v>
      </c>
      <c r="J372" s="13">
        <v>9156</v>
      </c>
      <c r="K372" s="13">
        <v>778</v>
      </c>
      <c r="L372" s="18">
        <v>7123368</v>
      </c>
    </row>
    <row r="373" spans="2:12" x14ac:dyDescent="0.3">
      <c r="B373" s="17" t="s">
        <v>164</v>
      </c>
      <c r="C373" s="26" t="s">
        <v>426</v>
      </c>
      <c r="D373" s="13" t="s">
        <v>158</v>
      </c>
      <c r="E373" s="13" t="s">
        <v>159</v>
      </c>
      <c r="F373" s="13" t="s">
        <v>56</v>
      </c>
      <c r="G373" s="13" t="s">
        <v>117</v>
      </c>
      <c r="H373" s="13" t="s">
        <v>58</v>
      </c>
      <c r="I373" s="13" t="s">
        <v>15</v>
      </c>
      <c r="J373" s="13">
        <v>3687</v>
      </c>
      <c r="K373" s="13">
        <v>867</v>
      </c>
      <c r="L373" s="18">
        <v>3196629</v>
      </c>
    </row>
    <row r="374" spans="2:12" x14ac:dyDescent="0.3">
      <c r="B374" s="17" t="s">
        <v>165</v>
      </c>
      <c r="C374" s="26" t="s">
        <v>426</v>
      </c>
      <c r="D374" s="13" t="s">
        <v>158</v>
      </c>
      <c r="E374" s="13" t="s">
        <v>159</v>
      </c>
      <c r="F374" s="13" t="s">
        <v>22</v>
      </c>
      <c r="G374" s="13" t="s">
        <v>119</v>
      </c>
      <c r="H374" s="13" t="s">
        <v>90</v>
      </c>
      <c r="I374" s="13" t="s">
        <v>15</v>
      </c>
      <c r="J374" s="13">
        <v>3165</v>
      </c>
      <c r="K374" s="13">
        <v>903</v>
      </c>
      <c r="L374" s="18">
        <v>2857995</v>
      </c>
    </row>
    <row r="375" spans="2:12" x14ac:dyDescent="0.3">
      <c r="B375" s="17" t="s">
        <v>166</v>
      </c>
      <c r="C375" s="26" t="s">
        <v>426</v>
      </c>
      <c r="D375" s="13" t="s">
        <v>30</v>
      </c>
      <c r="E375" s="13" t="s">
        <v>133</v>
      </c>
      <c r="F375" s="13" t="s">
        <v>22</v>
      </c>
      <c r="G375" s="13" t="s">
        <v>121</v>
      </c>
      <c r="H375" s="13" t="s">
        <v>24</v>
      </c>
      <c r="I375" s="13" t="s">
        <v>15</v>
      </c>
      <c r="J375" s="13">
        <v>1580</v>
      </c>
      <c r="K375" s="13">
        <v>718</v>
      </c>
      <c r="L375" s="18">
        <v>1134440</v>
      </c>
    </row>
    <row r="376" spans="2:12" x14ac:dyDescent="0.3">
      <c r="B376" s="17" t="s">
        <v>167</v>
      </c>
      <c r="C376" s="26" t="s">
        <v>426</v>
      </c>
      <c r="D376" s="13" t="s">
        <v>30</v>
      </c>
      <c r="E376" s="13" t="s">
        <v>133</v>
      </c>
      <c r="F376" s="13" t="s">
        <v>26</v>
      </c>
      <c r="G376" s="13" t="s">
        <v>123</v>
      </c>
      <c r="H376" s="13" t="s">
        <v>33</v>
      </c>
      <c r="I376" s="13" t="s">
        <v>15</v>
      </c>
      <c r="J376" s="13">
        <v>5627</v>
      </c>
      <c r="K376" s="13">
        <v>539</v>
      </c>
      <c r="L376" s="18">
        <v>3032953</v>
      </c>
    </row>
    <row r="377" spans="2:12" x14ac:dyDescent="0.3">
      <c r="B377" s="17" t="s">
        <v>168</v>
      </c>
      <c r="C377" s="26" t="s">
        <v>426</v>
      </c>
      <c r="D377" s="13" t="s">
        <v>30</v>
      </c>
      <c r="E377" s="13" t="s">
        <v>133</v>
      </c>
      <c r="F377" s="13" t="s">
        <v>13</v>
      </c>
      <c r="G377" s="13" t="s">
        <v>14</v>
      </c>
      <c r="H377" s="13" t="s">
        <v>14</v>
      </c>
      <c r="I377" s="13" t="s">
        <v>15</v>
      </c>
      <c r="J377" s="13">
        <v>3396</v>
      </c>
      <c r="K377" s="13">
        <v>865</v>
      </c>
      <c r="L377" s="18">
        <v>2937540</v>
      </c>
    </row>
    <row r="378" spans="2:12" x14ac:dyDescent="0.3">
      <c r="B378" s="17" t="s">
        <v>169</v>
      </c>
      <c r="C378" s="26" t="s">
        <v>426</v>
      </c>
      <c r="D378" s="13" t="s">
        <v>30</v>
      </c>
      <c r="E378" s="13" t="s">
        <v>133</v>
      </c>
      <c r="F378" s="13" t="s">
        <v>18</v>
      </c>
      <c r="G378" s="13" t="s">
        <v>19</v>
      </c>
      <c r="H378" s="13" t="s">
        <v>20</v>
      </c>
      <c r="I378" s="13" t="s">
        <v>45</v>
      </c>
      <c r="J378" s="13">
        <v>7609</v>
      </c>
      <c r="K378" s="13">
        <v>636</v>
      </c>
      <c r="L378" s="18">
        <v>4839324</v>
      </c>
    </row>
    <row r="379" spans="2:12" x14ac:dyDescent="0.3">
      <c r="B379" s="17" t="s">
        <v>170</v>
      </c>
      <c r="C379" s="26" t="s">
        <v>426</v>
      </c>
      <c r="D379" s="13" t="s">
        <v>30</v>
      </c>
      <c r="E379" s="13" t="s">
        <v>133</v>
      </c>
      <c r="F379" s="13" t="s">
        <v>22</v>
      </c>
      <c r="G379" s="13" t="s">
        <v>23</v>
      </c>
      <c r="H379" s="13" t="s">
        <v>24</v>
      </c>
      <c r="I379" s="13" t="s">
        <v>45</v>
      </c>
      <c r="J379" s="13">
        <v>2460</v>
      </c>
      <c r="K379" s="13">
        <v>571</v>
      </c>
      <c r="L379" s="18">
        <v>1404660</v>
      </c>
    </row>
    <row r="380" spans="2:12" x14ac:dyDescent="0.3">
      <c r="B380" s="17" t="s">
        <v>171</v>
      </c>
      <c r="C380" s="26" t="s">
        <v>426</v>
      </c>
      <c r="D380" s="13" t="s">
        <v>30</v>
      </c>
      <c r="E380" s="13" t="s">
        <v>146</v>
      </c>
      <c r="F380" s="13" t="s">
        <v>26</v>
      </c>
      <c r="G380" s="13" t="s">
        <v>27</v>
      </c>
      <c r="H380" s="13" t="s">
        <v>28</v>
      </c>
      <c r="I380" s="13" t="s">
        <v>45</v>
      </c>
      <c r="J380" s="13">
        <v>8048</v>
      </c>
      <c r="K380" s="13">
        <v>648</v>
      </c>
      <c r="L380" s="18">
        <v>5215104</v>
      </c>
    </row>
    <row r="381" spans="2:12" x14ac:dyDescent="0.3">
      <c r="B381" s="17" t="s">
        <v>172</v>
      </c>
      <c r="C381" s="26" t="s">
        <v>426</v>
      </c>
      <c r="D381" s="13" t="s">
        <v>30</v>
      </c>
      <c r="E381" s="13" t="s">
        <v>146</v>
      </c>
      <c r="F381" s="13" t="s">
        <v>26</v>
      </c>
      <c r="G381" s="13" t="s">
        <v>32</v>
      </c>
      <c r="H381" s="13" t="s">
        <v>33</v>
      </c>
      <c r="I381" s="13" t="s">
        <v>15</v>
      </c>
      <c r="J381" s="13">
        <v>6821</v>
      </c>
      <c r="K381" s="13">
        <v>871</v>
      </c>
      <c r="L381" s="18">
        <v>5941091</v>
      </c>
    </row>
    <row r="382" spans="2:12" x14ac:dyDescent="0.3">
      <c r="B382" s="17" t="s">
        <v>173</v>
      </c>
      <c r="C382" s="26" t="s">
        <v>426</v>
      </c>
      <c r="D382" s="13" t="s">
        <v>30</v>
      </c>
      <c r="E382" s="13" t="s">
        <v>146</v>
      </c>
      <c r="F382" s="13" t="s">
        <v>26</v>
      </c>
      <c r="G382" s="13" t="s">
        <v>35</v>
      </c>
      <c r="H382" s="13" t="s">
        <v>36</v>
      </c>
      <c r="I382" s="13" t="s">
        <v>15</v>
      </c>
      <c r="J382" s="13">
        <v>1898</v>
      </c>
      <c r="K382" s="13">
        <v>726</v>
      </c>
      <c r="L382" s="18">
        <v>1377948</v>
      </c>
    </row>
    <row r="383" spans="2:12" x14ac:dyDescent="0.3">
      <c r="B383" s="17" t="s">
        <v>174</v>
      </c>
      <c r="C383" s="26" t="s">
        <v>426</v>
      </c>
      <c r="D383" s="13" t="s">
        <v>30</v>
      </c>
      <c r="E383" s="13" t="s">
        <v>146</v>
      </c>
      <c r="F383" s="13" t="s">
        <v>18</v>
      </c>
      <c r="G383" s="13" t="s">
        <v>38</v>
      </c>
      <c r="H383" s="13" t="s">
        <v>39</v>
      </c>
      <c r="I383" s="13" t="s">
        <v>15</v>
      </c>
      <c r="J383" s="13">
        <v>8320</v>
      </c>
      <c r="K383" s="13">
        <v>701</v>
      </c>
      <c r="L383" s="18">
        <v>5832320</v>
      </c>
    </row>
    <row r="384" spans="2:12" x14ac:dyDescent="0.3">
      <c r="B384" s="17" t="s">
        <v>175</v>
      </c>
      <c r="C384" s="26" t="s">
        <v>426</v>
      </c>
      <c r="D384" s="13" t="s">
        <v>30</v>
      </c>
      <c r="E384" s="13" t="s">
        <v>146</v>
      </c>
      <c r="F384" s="13" t="s">
        <v>18</v>
      </c>
      <c r="G384" s="13" t="s">
        <v>41</v>
      </c>
      <c r="H384" s="13" t="s">
        <v>20</v>
      </c>
      <c r="I384" s="13" t="s">
        <v>15</v>
      </c>
      <c r="J384" s="13">
        <v>7085</v>
      </c>
      <c r="K384" s="13">
        <v>980</v>
      </c>
      <c r="L384" s="18">
        <v>6943300</v>
      </c>
    </row>
    <row r="385" spans="2:12" x14ac:dyDescent="0.3">
      <c r="B385" s="17" t="s">
        <v>176</v>
      </c>
      <c r="C385" s="26" t="s">
        <v>426</v>
      </c>
      <c r="D385" s="13" t="s">
        <v>30</v>
      </c>
      <c r="E385" s="13" t="s">
        <v>146</v>
      </c>
      <c r="F385" s="13" t="s">
        <v>13</v>
      </c>
      <c r="G385" s="13" t="s">
        <v>43</v>
      </c>
      <c r="H385" s="13" t="s">
        <v>44</v>
      </c>
      <c r="I385" s="13" t="s">
        <v>15</v>
      </c>
      <c r="J385" s="13">
        <v>7382</v>
      </c>
      <c r="K385" s="13">
        <v>866</v>
      </c>
      <c r="L385" s="18">
        <v>6392812</v>
      </c>
    </row>
    <row r="386" spans="2:12" x14ac:dyDescent="0.3">
      <c r="B386" s="17" t="s">
        <v>177</v>
      </c>
      <c r="C386" s="26" t="s">
        <v>426</v>
      </c>
      <c r="D386" s="13" t="s">
        <v>158</v>
      </c>
      <c r="E386" s="13" t="s">
        <v>178</v>
      </c>
      <c r="F386" s="13" t="s">
        <v>18</v>
      </c>
      <c r="G386" s="13" t="s">
        <v>47</v>
      </c>
      <c r="H386" s="13" t="s">
        <v>39</v>
      </c>
      <c r="I386" s="13" t="s">
        <v>45</v>
      </c>
      <c r="J386" s="13">
        <v>4636</v>
      </c>
      <c r="K386" s="13">
        <v>976</v>
      </c>
      <c r="L386" s="18">
        <v>4524736</v>
      </c>
    </row>
    <row r="387" spans="2:12" x14ac:dyDescent="0.3">
      <c r="B387" s="17" t="s">
        <v>179</v>
      </c>
      <c r="C387" s="26" t="s">
        <v>426</v>
      </c>
      <c r="D387" s="13" t="s">
        <v>158</v>
      </c>
      <c r="E387" s="13" t="s">
        <v>178</v>
      </c>
      <c r="F387" s="13" t="s">
        <v>13</v>
      </c>
      <c r="G387" s="13" t="s">
        <v>49</v>
      </c>
      <c r="H387" s="13" t="s">
        <v>50</v>
      </c>
      <c r="I387" s="13" t="s">
        <v>45</v>
      </c>
      <c r="J387" s="13">
        <v>2540</v>
      </c>
      <c r="K387" s="13">
        <v>735</v>
      </c>
      <c r="L387" s="18">
        <v>1866900</v>
      </c>
    </row>
    <row r="388" spans="2:12" x14ac:dyDescent="0.3">
      <c r="B388" s="17" t="s">
        <v>180</v>
      </c>
      <c r="C388" s="26" t="s">
        <v>426</v>
      </c>
      <c r="D388" s="13" t="s">
        <v>158</v>
      </c>
      <c r="E388" s="13" t="s">
        <v>178</v>
      </c>
      <c r="F388" s="13" t="s">
        <v>13</v>
      </c>
      <c r="G388" s="13" t="s">
        <v>52</v>
      </c>
      <c r="H388" s="13" t="s">
        <v>50</v>
      </c>
      <c r="I388" s="13" t="s">
        <v>45</v>
      </c>
      <c r="J388" s="13">
        <v>6995</v>
      </c>
      <c r="K388" s="13">
        <v>959</v>
      </c>
      <c r="L388" s="18">
        <v>6708205</v>
      </c>
    </row>
    <row r="389" spans="2:12" x14ac:dyDescent="0.3">
      <c r="B389" s="17" t="s">
        <v>181</v>
      </c>
      <c r="C389" s="26" t="s">
        <v>426</v>
      </c>
      <c r="D389" s="13" t="s">
        <v>158</v>
      </c>
      <c r="E389" s="13" t="s">
        <v>178</v>
      </c>
      <c r="F389" s="13" t="s">
        <v>18</v>
      </c>
      <c r="G389" s="13" t="s">
        <v>54</v>
      </c>
      <c r="H389" s="13" t="s">
        <v>20</v>
      </c>
      <c r="I389" s="13" t="s">
        <v>45</v>
      </c>
      <c r="J389" s="13">
        <v>8442</v>
      </c>
      <c r="K389" s="13">
        <v>618</v>
      </c>
      <c r="L389" s="18">
        <v>5217156</v>
      </c>
    </row>
    <row r="390" spans="2:12" x14ac:dyDescent="0.3">
      <c r="B390" s="17" t="s">
        <v>182</v>
      </c>
      <c r="C390" s="26" t="s">
        <v>426</v>
      </c>
      <c r="D390" s="13" t="s">
        <v>158</v>
      </c>
      <c r="E390" s="13" t="s">
        <v>178</v>
      </c>
      <c r="F390" s="13" t="s">
        <v>56</v>
      </c>
      <c r="G390" s="13" t="s">
        <v>57</v>
      </c>
      <c r="H390" s="13" t="s">
        <v>58</v>
      </c>
      <c r="I390" s="13" t="s">
        <v>45</v>
      </c>
      <c r="J390" s="13">
        <v>8766</v>
      </c>
      <c r="K390" s="13">
        <v>813</v>
      </c>
      <c r="L390" s="18">
        <v>7126758</v>
      </c>
    </row>
    <row r="391" spans="2:12" x14ac:dyDescent="0.3">
      <c r="B391" s="17" t="s">
        <v>183</v>
      </c>
      <c r="C391" s="26" t="s">
        <v>426</v>
      </c>
      <c r="D391" s="13" t="s">
        <v>158</v>
      </c>
      <c r="E391" s="13" t="s">
        <v>178</v>
      </c>
      <c r="F391" s="13" t="s">
        <v>18</v>
      </c>
      <c r="G391" s="13" t="s">
        <v>61</v>
      </c>
      <c r="H391" s="13" t="s">
        <v>20</v>
      </c>
      <c r="I391" s="13" t="s">
        <v>45</v>
      </c>
      <c r="J391" s="13">
        <v>2645</v>
      </c>
      <c r="K391" s="13">
        <v>513</v>
      </c>
      <c r="L391" s="18">
        <v>1356885</v>
      </c>
    </row>
    <row r="392" spans="2:12" x14ac:dyDescent="0.3">
      <c r="B392" s="17" t="s">
        <v>184</v>
      </c>
      <c r="C392" s="26" t="s">
        <v>426</v>
      </c>
      <c r="D392" s="13" t="s">
        <v>158</v>
      </c>
      <c r="E392" s="13" t="s">
        <v>178</v>
      </c>
      <c r="F392" s="13" t="s">
        <v>63</v>
      </c>
      <c r="G392" s="13" t="s">
        <v>64</v>
      </c>
      <c r="H392" s="13" t="s">
        <v>64</v>
      </c>
      <c r="I392" s="13" t="s">
        <v>45</v>
      </c>
      <c r="J392" s="13">
        <v>4794</v>
      </c>
      <c r="K392" s="13">
        <v>703</v>
      </c>
      <c r="L392" s="18">
        <v>3370182</v>
      </c>
    </row>
    <row r="393" spans="2:12" x14ac:dyDescent="0.3">
      <c r="B393" s="17" t="s">
        <v>185</v>
      </c>
      <c r="C393" s="26" t="s">
        <v>426</v>
      </c>
      <c r="D393" s="13" t="s">
        <v>158</v>
      </c>
      <c r="E393" s="13" t="s">
        <v>178</v>
      </c>
      <c r="F393" s="13" t="s">
        <v>56</v>
      </c>
      <c r="G393" s="13" t="s">
        <v>66</v>
      </c>
      <c r="H393" s="13" t="s">
        <v>58</v>
      </c>
      <c r="I393" s="13" t="s">
        <v>15</v>
      </c>
      <c r="J393" s="13">
        <v>4067</v>
      </c>
      <c r="K393" s="13">
        <v>710</v>
      </c>
      <c r="L393" s="18">
        <v>2887570</v>
      </c>
    </row>
    <row r="394" spans="2:12" x14ac:dyDescent="0.3">
      <c r="B394" s="17" t="s">
        <v>186</v>
      </c>
      <c r="C394" s="26" t="s">
        <v>426</v>
      </c>
      <c r="D394" s="13" t="s">
        <v>158</v>
      </c>
      <c r="E394" s="13" t="s">
        <v>178</v>
      </c>
      <c r="F394" s="13" t="s">
        <v>26</v>
      </c>
      <c r="G394" s="13" t="s">
        <v>68</v>
      </c>
      <c r="H394" s="13" t="s">
        <v>69</v>
      </c>
      <c r="I394" s="13" t="s">
        <v>15</v>
      </c>
      <c r="J394" s="13">
        <v>9519</v>
      </c>
      <c r="K394" s="13">
        <v>949</v>
      </c>
      <c r="L394" s="18">
        <v>9033531</v>
      </c>
    </row>
    <row r="395" spans="2:12" x14ac:dyDescent="0.3">
      <c r="B395" s="17" t="s">
        <v>187</v>
      </c>
      <c r="C395" s="26" t="s">
        <v>426</v>
      </c>
      <c r="D395" s="13" t="s">
        <v>158</v>
      </c>
      <c r="E395" s="13" t="s">
        <v>178</v>
      </c>
      <c r="F395" s="13" t="s">
        <v>22</v>
      </c>
      <c r="G395" s="13" t="s">
        <v>71</v>
      </c>
      <c r="H395" s="13" t="s">
        <v>72</v>
      </c>
      <c r="I395" s="13" t="s">
        <v>15</v>
      </c>
      <c r="J395" s="13">
        <v>7217</v>
      </c>
      <c r="K395" s="13">
        <v>935</v>
      </c>
      <c r="L395" s="18">
        <v>6747895</v>
      </c>
    </row>
    <row r="396" spans="2:12" x14ac:dyDescent="0.3">
      <c r="B396" s="17" t="s">
        <v>188</v>
      </c>
      <c r="C396" s="26" t="s">
        <v>426</v>
      </c>
      <c r="D396" s="13" t="s">
        <v>158</v>
      </c>
      <c r="E396" s="13" t="s">
        <v>178</v>
      </c>
      <c r="F396" s="13" t="s">
        <v>18</v>
      </c>
      <c r="G396" s="13" t="s">
        <v>74</v>
      </c>
      <c r="H396" s="13" t="s">
        <v>39</v>
      </c>
      <c r="I396" s="13" t="s">
        <v>15</v>
      </c>
      <c r="J396" s="13">
        <v>1885</v>
      </c>
      <c r="K396" s="13">
        <v>811</v>
      </c>
      <c r="L396" s="18">
        <v>1528735</v>
      </c>
    </row>
    <row r="397" spans="2:12" x14ac:dyDescent="0.3">
      <c r="B397" s="17" t="s">
        <v>189</v>
      </c>
      <c r="C397" s="26" t="s">
        <v>426</v>
      </c>
      <c r="D397" s="13" t="s">
        <v>158</v>
      </c>
      <c r="E397" s="13" t="s">
        <v>178</v>
      </c>
      <c r="F397" s="13" t="s">
        <v>13</v>
      </c>
      <c r="G397" s="13" t="s">
        <v>76</v>
      </c>
      <c r="H397" s="13" t="s">
        <v>50</v>
      </c>
      <c r="I397" s="13" t="s">
        <v>45</v>
      </c>
      <c r="J397" s="13">
        <v>8921</v>
      </c>
      <c r="K397" s="13">
        <v>593</v>
      </c>
      <c r="L397" s="18">
        <v>5290153</v>
      </c>
    </row>
    <row r="398" spans="2:12" x14ac:dyDescent="0.3">
      <c r="B398" s="17" t="s">
        <v>190</v>
      </c>
      <c r="C398" s="26" t="s">
        <v>426</v>
      </c>
      <c r="D398" s="13" t="s">
        <v>11</v>
      </c>
      <c r="E398" s="13" t="s">
        <v>116</v>
      </c>
      <c r="F398" s="13" t="s">
        <v>13</v>
      </c>
      <c r="G398" s="13" t="s">
        <v>79</v>
      </c>
      <c r="H398" s="13" t="s">
        <v>50</v>
      </c>
      <c r="I398" s="13" t="s">
        <v>15</v>
      </c>
      <c r="J398" s="13">
        <v>6596</v>
      </c>
      <c r="K398" s="13">
        <v>501</v>
      </c>
      <c r="L398" s="18">
        <v>3304596</v>
      </c>
    </row>
    <row r="399" spans="2:12" x14ac:dyDescent="0.3">
      <c r="B399" s="17" t="s">
        <v>191</v>
      </c>
      <c r="C399" s="26" t="s">
        <v>426</v>
      </c>
      <c r="D399" s="13" t="s">
        <v>11</v>
      </c>
      <c r="E399" s="13" t="s">
        <v>116</v>
      </c>
      <c r="F399" s="13" t="s">
        <v>26</v>
      </c>
      <c r="G399" s="13" t="s">
        <v>81</v>
      </c>
      <c r="H399" s="13" t="s">
        <v>28</v>
      </c>
      <c r="I399" s="13" t="s">
        <v>15</v>
      </c>
      <c r="J399" s="13">
        <v>3074</v>
      </c>
      <c r="K399" s="13">
        <v>869</v>
      </c>
      <c r="L399" s="18">
        <v>2671306</v>
      </c>
    </row>
    <row r="400" spans="2:12" x14ac:dyDescent="0.3">
      <c r="B400" s="17" t="s">
        <v>192</v>
      </c>
      <c r="C400" s="26" t="s">
        <v>426</v>
      </c>
      <c r="D400" s="13" t="s">
        <v>11</v>
      </c>
      <c r="E400" s="13" t="s">
        <v>116</v>
      </c>
      <c r="F400" s="13" t="s">
        <v>26</v>
      </c>
      <c r="G400" s="13" t="s">
        <v>83</v>
      </c>
      <c r="H400" s="13" t="s">
        <v>28</v>
      </c>
      <c r="I400" s="13" t="s">
        <v>15</v>
      </c>
      <c r="J400" s="13">
        <v>6116</v>
      </c>
      <c r="K400" s="13">
        <v>699</v>
      </c>
      <c r="L400" s="18">
        <v>4275084</v>
      </c>
    </row>
    <row r="401" spans="2:12" x14ac:dyDescent="0.3">
      <c r="B401" s="17" t="s">
        <v>193</v>
      </c>
      <c r="C401" s="26" t="s">
        <v>426</v>
      </c>
      <c r="D401" s="13" t="s">
        <v>11</v>
      </c>
      <c r="E401" s="13" t="s">
        <v>116</v>
      </c>
      <c r="F401" s="13" t="s">
        <v>13</v>
      </c>
      <c r="G401" s="13" t="s">
        <v>85</v>
      </c>
      <c r="H401" s="13" t="s">
        <v>44</v>
      </c>
      <c r="I401" s="13" t="s">
        <v>15</v>
      </c>
      <c r="J401" s="13">
        <v>5729</v>
      </c>
      <c r="K401" s="13">
        <v>753</v>
      </c>
      <c r="L401" s="18">
        <v>4313937</v>
      </c>
    </row>
    <row r="402" spans="2:12" x14ac:dyDescent="0.3">
      <c r="B402" s="17" t="s">
        <v>194</v>
      </c>
      <c r="C402" s="26" t="s">
        <v>426</v>
      </c>
      <c r="D402" s="13" t="s">
        <v>11</v>
      </c>
      <c r="E402" s="13" t="s">
        <v>116</v>
      </c>
      <c r="F402" s="13" t="s">
        <v>13</v>
      </c>
      <c r="G402" s="13" t="s">
        <v>87</v>
      </c>
      <c r="H402" s="13" t="s">
        <v>50</v>
      </c>
      <c r="I402" s="13" t="s">
        <v>45</v>
      </c>
      <c r="J402" s="13">
        <v>7181</v>
      </c>
      <c r="K402" s="13">
        <v>668</v>
      </c>
      <c r="L402" s="18">
        <v>4796908</v>
      </c>
    </row>
    <row r="403" spans="2:12" x14ac:dyDescent="0.3">
      <c r="B403" s="17" t="s">
        <v>195</v>
      </c>
      <c r="C403" s="26" t="s">
        <v>426</v>
      </c>
      <c r="D403" s="13" t="s">
        <v>11</v>
      </c>
      <c r="E403" s="13" t="s">
        <v>116</v>
      </c>
      <c r="F403" s="13" t="s">
        <v>22</v>
      </c>
      <c r="G403" s="13" t="s">
        <v>89</v>
      </c>
      <c r="H403" s="13" t="s">
        <v>90</v>
      </c>
      <c r="I403" s="13" t="s">
        <v>45</v>
      </c>
      <c r="J403" s="13">
        <v>9034</v>
      </c>
      <c r="K403" s="13">
        <v>730</v>
      </c>
      <c r="L403" s="18">
        <v>6594820</v>
      </c>
    </row>
    <row r="404" spans="2:12" x14ac:dyDescent="0.3">
      <c r="B404" s="17" t="s">
        <v>196</v>
      </c>
      <c r="C404" s="26" t="s">
        <v>427</v>
      </c>
      <c r="D404" s="13" t="s">
        <v>11</v>
      </c>
      <c r="E404" s="13" t="s">
        <v>116</v>
      </c>
      <c r="F404" s="13" t="s">
        <v>26</v>
      </c>
      <c r="G404" s="13" t="s">
        <v>92</v>
      </c>
      <c r="H404" s="13" t="s">
        <v>93</v>
      </c>
      <c r="I404" s="13" t="s">
        <v>45</v>
      </c>
      <c r="J404" s="13">
        <v>6005</v>
      </c>
      <c r="K404" s="13">
        <v>739</v>
      </c>
      <c r="L404" s="18">
        <v>4437695</v>
      </c>
    </row>
    <row r="405" spans="2:12" x14ac:dyDescent="0.3">
      <c r="B405" s="17" t="s">
        <v>197</v>
      </c>
      <c r="C405" s="26" t="s">
        <v>427</v>
      </c>
      <c r="D405" s="13" t="s">
        <v>11</v>
      </c>
      <c r="E405" s="13" t="s">
        <v>116</v>
      </c>
      <c r="F405" s="13" t="s">
        <v>18</v>
      </c>
      <c r="G405" s="13" t="s">
        <v>95</v>
      </c>
      <c r="H405" s="13" t="s">
        <v>20</v>
      </c>
      <c r="I405" s="13" t="s">
        <v>45</v>
      </c>
      <c r="J405" s="13">
        <v>5261</v>
      </c>
      <c r="K405" s="13">
        <v>626</v>
      </c>
      <c r="L405" s="18">
        <v>3293386</v>
      </c>
    </row>
    <row r="406" spans="2:12" x14ac:dyDescent="0.3">
      <c r="B406" s="17" t="s">
        <v>198</v>
      </c>
      <c r="C406" s="26" t="s">
        <v>427</v>
      </c>
      <c r="D406" s="13" t="s">
        <v>11</v>
      </c>
      <c r="E406" s="13" t="s">
        <v>116</v>
      </c>
      <c r="F406" s="13" t="s">
        <v>13</v>
      </c>
      <c r="G406" s="13" t="s">
        <v>97</v>
      </c>
      <c r="H406" s="13" t="s">
        <v>98</v>
      </c>
      <c r="I406" s="13" t="s">
        <v>45</v>
      </c>
      <c r="J406" s="13">
        <v>5989</v>
      </c>
      <c r="K406" s="13">
        <v>889</v>
      </c>
      <c r="L406" s="18">
        <v>5324221</v>
      </c>
    </row>
    <row r="407" spans="2:12" x14ac:dyDescent="0.3">
      <c r="B407" s="17" t="s">
        <v>199</v>
      </c>
      <c r="C407" s="26" t="s">
        <v>427</v>
      </c>
      <c r="D407" s="13" t="s">
        <v>11</v>
      </c>
      <c r="E407" s="13" t="s">
        <v>116</v>
      </c>
      <c r="F407" s="13" t="s">
        <v>13</v>
      </c>
      <c r="G407" s="13" t="s">
        <v>100</v>
      </c>
      <c r="H407" s="13" t="s">
        <v>101</v>
      </c>
      <c r="I407" s="13" t="s">
        <v>45</v>
      </c>
      <c r="J407" s="13">
        <v>6350</v>
      </c>
      <c r="K407" s="13">
        <v>615</v>
      </c>
      <c r="L407" s="18">
        <v>3905250</v>
      </c>
    </row>
    <row r="408" spans="2:12" x14ac:dyDescent="0.3">
      <c r="B408" s="17" t="s">
        <v>200</v>
      </c>
      <c r="C408" s="26" t="s">
        <v>427</v>
      </c>
      <c r="D408" s="13" t="s">
        <v>11</v>
      </c>
      <c r="E408" s="13" t="s">
        <v>116</v>
      </c>
      <c r="F408" s="13" t="s">
        <v>103</v>
      </c>
      <c r="G408" s="13" t="s">
        <v>104</v>
      </c>
      <c r="H408" s="13" t="s">
        <v>105</v>
      </c>
      <c r="I408" s="13" t="s">
        <v>45</v>
      </c>
      <c r="J408" s="13">
        <v>9014</v>
      </c>
      <c r="K408" s="13">
        <v>687</v>
      </c>
      <c r="L408" s="18">
        <v>6192618</v>
      </c>
    </row>
    <row r="409" spans="2:12" x14ac:dyDescent="0.3">
      <c r="B409" s="17" t="s">
        <v>201</v>
      </c>
      <c r="C409" s="26" t="s">
        <v>427</v>
      </c>
      <c r="D409" s="13" t="s">
        <v>30</v>
      </c>
      <c r="E409" s="13" t="s">
        <v>133</v>
      </c>
      <c r="F409" s="13" t="s">
        <v>13</v>
      </c>
      <c r="G409" s="13" t="s">
        <v>107</v>
      </c>
      <c r="H409" s="13" t="s">
        <v>108</v>
      </c>
      <c r="I409" s="13" t="s">
        <v>45</v>
      </c>
      <c r="J409" s="13">
        <v>9418</v>
      </c>
      <c r="K409" s="13">
        <v>558</v>
      </c>
      <c r="L409" s="18">
        <v>5255244</v>
      </c>
    </row>
    <row r="410" spans="2:12" x14ac:dyDescent="0.3">
      <c r="B410" s="17" t="s">
        <v>202</v>
      </c>
      <c r="C410" s="26" t="s">
        <v>427</v>
      </c>
      <c r="D410" s="13" t="s">
        <v>30</v>
      </c>
      <c r="E410" s="13" t="s">
        <v>133</v>
      </c>
      <c r="F410" s="13" t="s">
        <v>56</v>
      </c>
      <c r="G410" s="13" t="s">
        <v>110</v>
      </c>
      <c r="H410" s="13" t="s">
        <v>111</v>
      </c>
      <c r="I410" s="13" t="s">
        <v>45</v>
      </c>
      <c r="J410" s="13">
        <v>8665</v>
      </c>
      <c r="K410" s="13">
        <v>743</v>
      </c>
      <c r="L410" s="18">
        <v>6438095</v>
      </c>
    </row>
    <row r="411" spans="2:12" x14ac:dyDescent="0.3">
      <c r="B411" s="17" t="s">
        <v>343</v>
      </c>
      <c r="C411" s="26" t="s">
        <v>427</v>
      </c>
      <c r="D411" s="13" t="s">
        <v>30</v>
      </c>
      <c r="E411" s="13" t="s">
        <v>133</v>
      </c>
      <c r="F411" s="13" t="s">
        <v>56</v>
      </c>
      <c r="G411" s="13" t="s">
        <v>110</v>
      </c>
      <c r="H411" s="13" t="s">
        <v>111</v>
      </c>
      <c r="I411" s="13" t="s">
        <v>45</v>
      </c>
      <c r="J411" s="13">
        <v>6023</v>
      </c>
      <c r="K411" s="13">
        <v>707</v>
      </c>
      <c r="L411" s="18">
        <v>4258261</v>
      </c>
    </row>
    <row r="412" spans="2:12" x14ac:dyDescent="0.3">
      <c r="B412" s="17" t="s">
        <v>344</v>
      </c>
      <c r="C412" s="26" t="s">
        <v>428</v>
      </c>
      <c r="D412" s="13" t="s">
        <v>30</v>
      </c>
      <c r="E412" s="13" t="s">
        <v>133</v>
      </c>
      <c r="F412" s="13" t="s">
        <v>22</v>
      </c>
      <c r="G412" s="13" t="s">
        <v>113</v>
      </c>
      <c r="H412" s="13" t="s">
        <v>24</v>
      </c>
      <c r="I412" s="13" t="s">
        <v>45</v>
      </c>
      <c r="J412" s="13">
        <v>6681</v>
      </c>
      <c r="K412" s="13">
        <v>886</v>
      </c>
      <c r="L412" s="18">
        <v>5919366</v>
      </c>
    </row>
    <row r="413" spans="2:12" x14ac:dyDescent="0.3">
      <c r="B413" s="17" t="s">
        <v>345</v>
      </c>
      <c r="C413" s="26" t="s">
        <v>428</v>
      </c>
      <c r="D413" s="13" t="s">
        <v>30</v>
      </c>
      <c r="E413" s="13" t="s">
        <v>133</v>
      </c>
      <c r="F413" s="13" t="s">
        <v>18</v>
      </c>
      <c r="G413" s="13" t="s">
        <v>74</v>
      </c>
      <c r="H413" s="13" t="s">
        <v>39</v>
      </c>
      <c r="I413" s="13" t="s">
        <v>45</v>
      </c>
      <c r="J413" s="13">
        <v>8243</v>
      </c>
      <c r="K413" s="13">
        <v>630</v>
      </c>
      <c r="L413" s="18">
        <v>5193090</v>
      </c>
    </row>
    <row r="414" spans="2:12" x14ac:dyDescent="0.3">
      <c r="B414" s="17" t="s">
        <v>346</v>
      </c>
      <c r="C414" s="26" t="s">
        <v>428</v>
      </c>
      <c r="D414" s="13" t="s">
        <v>30</v>
      </c>
      <c r="E414" s="13" t="s">
        <v>133</v>
      </c>
      <c r="F414" s="13" t="s">
        <v>13</v>
      </c>
      <c r="G414" s="13" t="s">
        <v>76</v>
      </c>
      <c r="H414" s="13" t="s">
        <v>50</v>
      </c>
      <c r="I414" s="13" t="s">
        <v>45</v>
      </c>
      <c r="J414" s="13">
        <v>9739</v>
      </c>
      <c r="K414" s="13">
        <v>947</v>
      </c>
      <c r="L414" s="18">
        <v>9222833</v>
      </c>
    </row>
    <row r="415" spans="2:12" x14ac:dyDescent="0.3">
      <c r="B415" s="17" t="s">
        <v>347</v>
      </c>
      <c r="C415" s="26" t="s">
        <v>428</v>
      </c>
      <c r="D415" s="13" t="s">
        <v>30</v>
      </c>
      <c r="E415" s="13" t="s">
        <v>133</v>
      </c>
      <c r="F415" s="13" t="s">
        <v>13</v>
      </c>
      <c r="G415" s="13" t="s">
        <v>79</v>
      </c>
      <c r="H415" s="13" t="s">
        <v>50</v>
      </c>
      <c r="I415" s="13" t="s">
        <v>45</v>
      </c>
      <c r="J415" s="13">
        <v>1974</v>
      </c>
      <c r="K415" s="13">
        <v>575</v>
      </c>
      <c r="L415" s="18">
        <v>1135050</v>
      </c>
    </row>
    <row r="416" spans="2:12" x14ac:dyDescent="0.3">
      <c r="B416" s="17" t="s">
        <v>348</v>
      </c>
      <c r="C416" s="26" t="s">
        <v>428</v>
      </c>
      <c r="D416" s="13" t="s">
        <v>30</v>
      </c>
      <c r="E416" s="13" t="s">
        <v>133</v>
      </c>
      <c r="F416" s="13" t="s">
        <v>26</v>
      </c>
      <c r="G416" s="13" t="s">
        <v>81</v>
      </c>
      <c r="H416" s="13" t="s">
        <v>28</v>
      </c>
      <c r="I416" s="13" t="s">
        <v>45</v>
      </c>
      <c r="J416" s="13">
        <v>7991</v>
      </c>
      <c r="K416" s="13">
        <v>910</v>
      </c>
      <c r="L416" s="18">
        <v>7271810</v>
      </c>
    </row>
    <row r="417" spans="2:12" x14ac:dyDescent="0.3">
      <c r="B417" s="17" t="s">
        <v>349</v>
      </c>
      <c r="C417" s="26" t="s">
        <v>428</v>
      </c>
      <c r="D417" s="13" t="s">
        <v>30</v>
      </c>
      <c r="E417" s="13" t="s">
        <v>133</v>
      </c>
      <c r="F417" s="13" t="s">
        <v>26</v>
      </c>
      <c r="G417" s="13" t="s">
        <v>83</v>
      </c>
      <c r="H417" s="13" t="s">
        <v>28</v>
      </c>
      <c r="I417" s="13" t="s">
        <v>45</v>
      </c>
      <c r="J417" s="13">
        <v>1888</v>
      </c>
      <c r="K417" s="13">
        <v>682</v>
      </c>
      <c r="L417" s="18">
        <v>1287616</v>
      </c>
    </row>
    <row r="418" spans="2:12" x14ac:dyDescent="0.3">
      <c r="B418" s="17" t="s">
        <v>350</v>
      </c>
      <c r="C418" s="26" t="s">
        <v>428</v>
      </c>
      <c r="D418" s="13" t="s">
        <v>30</v>
      </c>
      <c r="E418" s="13" t="s">
        <v>133</v>
      </c>
      <c r="F418" s="13" t="s">
        <v>13</v>
      </c>
      <c r="G418" s="13" t="s">
        <v>85</v>
      </c>
      <c r="H418" s="13" t="s">
        <v>44</v>
      </c>
      <c r="I418" s="13" t="s">
        <v>45</v>
      </c>
      <c r="J418" s="13">
        <v>3251</v>
      </c>
      <c r="K418" s="13">
        <v>720</v>
      </c>
      <c r="L418" s="18">
        <v>2340720</v>
      </c>
    </row>
    <row r="419" spans="2:12" x14ac:dyDescent="0.3">
      <c r="B419" s="17" t="s">
        <v>351</v>
      </c>
      <c r="C419" s="26" t="s">
        <v>428</v>
      </c>
      <c r="D419" s="13" t="s">
        <v>30</v>
      </c>
      <c r="E419" s="13" t="s">
        <v>133</v>
      </c>
      <c r="F419" s="13" t="s">
        <v>13</v>
      </c>
      <c r="G419" s="13" t="s">
        <v>87</v>
      </c>
      <c r="H419" s="13" t="s">
        <v>50</v>
      </c>
      <c r="I419" s="13" t="s">
        <v>45</v>
      </c>
      <c r="J419" s="13">
        <v>7341</v>
      </c>
      <c r="K419" s="13">
        <v>848</v>
      </c>
      <c r="L419" s="18">
        <v>6225168</v>
      </c>
    </row>
    <row r="420" spans="2:12" x14ac:dyDescent="0.3">
      <c r="B420" s="17" t="s">
        <v>352</v>
      </c>
      <c r="C420" s="26" t="s">
        <v>428</v>
      </c>
      <c r="D420" s="13" t="s">
        <v>30</v>
      </c>
      <c r="E420" s="13" t="s">
        <v>133</v>
      </c>
      <c r="F420" s="13" t="s">
        <v>22</v>
      </c>
      <c r="G420" s="13" t="s">
        <v>89</v>
      </c>
      <c r="H420" s="13" t="s">
        <v>90</v>
      </c>
      <c r="I420" s="13" t="s">
        <v>45</v>
      </c>
      <c r="J420" s="13">
        <v>7168</v>
      </c>
      <c r="K420" s="13">
        <v>642</v>
      </c>
      <c r="L420" s="18">
        <v>4601856</v>
      </c>
    </row>
    <row r="421" spans="2:12" x14ac:dyDescent="0.3">
      <c r="B421" s="17" t="s">
        <v>353</v>
      </c>
      <c r="C421" s="26" t="s">
        <v>428</v>
      </c>
      <c r="D421" s="13" t="s">
        <v>30</v>
      </c>
      <c r="E421" s="13" t="s">
        <v>146</v>
      </c>
      <c r="F421" s="13" t="s">
        <v>26</v>
      </c>
      <c r="G421" s="13" t="s">
        <v>92</v>
      </c>
      <c r="H421" s="13" t="s">
        <v>93</v>
      </c>
      <c r="I421" s="13" t="s">
        <v>45</v>
      </c>
      <c r="J421" s="13">
        <v>8503</v>
      </c>
      <c r="K421" s="13">
        <v>591</v>
      </c>
      <c r="L421" s="18">
        <v>5025273</v>
      </c>
    </row>
    <row r="422" spans="2:12" x14ac:dyDescent="0.3">
      <c r="B422" s="17" t="s">
        <v>354</v>
      </c>
      <c r="C422" s="26" t="s">
        <v>429</v>
      </c>
      <c r="D422" s="13" t="s">
        <v>30</v>
      </c>
      <c r="E422" s="13" t="s">
        <v>146</v>
      </c>
      <c r="F422" s="13" t="s">
        <v>18</v>
      </c>
      <c r="G422" s="13" t="s">
        <v>95</v>
      </c>
      <c r="H422" s="13" t="s">
        <v>20</v>
      </c>
      <c r="I422" s="13" t="s">
        <v>45</v>
      </c>
      <c r="J422" s="13">
        <v>3099</v>
      </c>
      <c r="K422" s="13">
        <v>601</v>
      </c>
      <c r="L422" s="18">
        <v>1862499</v>
      </c>
    </row>
    <row r="423" spans="2:12" x14ac:dyDescent="0.3">
      <c r="B423" s="17" t="s">
        <v>355</v>
      </c>
      <c r="C423" s="26" t="s">
        <v>429</v>
      </c>
      <c r="D423" s="13" t="s">
        <v>30</v>
      </c>
      <c r="E423" s="13" t="s">
        <v>146</v>
      </c>
      <c r="F423" s="13" t="s">
        <v>13</v>
      </c>
      <c r="G423" s="13" t="s">
        <v>97</v>
      </c>
      <c r="H423" s="13" t="s">
        <v>98</v>
      </c>
      <c r="I423" s="13" t="s">
        <v>45</v>
      </c>
      <c r="J423" s="13">
        <v>2916</v>
      </c>
      <c r="K423" s="13">
        <v>767</v>
      </c>
      <c r="L423" s="18">
        <v>2236572</v>
      </c>
    </row>
    <row r="424" spans="2:12" x14ac:dyDescent="0.3">
      <c r="B424" s="17" t="s">
        <v>356</v>
      </c>
      <c r="C424" s="26" t="s">
        <v>429</v>
      </c>
      <c r="D424" s="13" t="s">
        <v>30</v>
      </c>
      <c r="E424" s="13" t="s">
        <v>146</v>
      </c>
      <c r="F424" s="13" t="s">
        <v>13</v>
      </c>
      <c r="G424" s="13" t="s">
        <v>100</v>
      </c>
      <c r="H424" s="13" t="s">
        <v>101</v>
      </c>
      <c r="I424" s="13" t="s">
        <v>45</v>
      </c>
      <c r="J424" s="13">
        <v>5674</v>
      </c>
      <c r="K424" s="13">
        <v>975</v>
      </c>
      <c r="L424" s="18">
        <v>5532150</v>
      </c>
    </row>
    <row r="425" spans="2:12" x14ac:dyDescent="0.3">
      <c r="B425" s="17" t="s">
        <v>357</v>
      </c>
      <c r="C425" s="26" t="s">
        <v>429</v>
      </c>
      <c r="D425" s="13" t="s">
        <v>30</v>
      </c>
      <c r="E425" s="13" t="s">
        <v>146</v>
      </c>
      <c r="F425" s="13" t="s">
        <v>103</v>
      </c>
      <c r="G425" s="13" t="s">
        <v>104</v>
      </c>
      <c r="H425" s="13" t="s">
        <v>105</v>
      </c>
      <c r="I425" s="13" t="s">
        <v>45</v>
      </c>
      <c r="J425" s="13">
        <v>4048</v>
      </c>
      <c r="K425" s="13">
        <v>713</v>
      </c>
      <c r="L425" s="18">
        <v>2886224</v>
      </c>
    </row>
    <row r="426" spans="2:12" x14ac:dyDescent="0.3">
      <c r="B426" s="17" t="s">
        <v>358</v>
      </c>
      <c r="C426" s="26" t="s">
        <v>429</v>
      </c>
      <c r="D426" s="13" t="s">
        <v>30</v>
      </c>
      <c r="E426" s="13" t="s">
        <v>146</v>
      </c>
      <c r="F426" s="13" t="s">
        <v>13</v>
      </c>
      <c r="G426" s="13" t="s">
        <v>107</v>
      </c>
      <c r="H426" s="13" t="s">
        <v>108</v>
      </c>
      <c r="I426" s="13" t="s">
        <v>15</v>
      </c>
      <c r="J426" s="13">
        <v>1663</v>
      </c>
      <c r="K426" s="13">
        <v>659</v>
      </c>
      <c r="L426" s="18">
        <v>1095917</v>
      </c>
    </row>
    <row r="427" spans="2:12" x14ac:dyDescent="0.3">
      <c r="B427" s="17" t="s">
        <v>359</v>
      </c>
      <c r="C427" s="26" t="s">
        <v>429</v>
      </c>
      <c r="D427" s="13" t="s">
        <v>30</v>
      </c>
      <c r="E427" s="13" t="s">
        <v>146</v>
      </c>
      <c r="F427" s="13" t="s">
        <v>56</v>
      </c>
      <c r="G427" s="13" t="s">
        <v>110</v>
      </c>
      <c r="H427" s="13" t="s">
        <v>111</v>
      </c>
      <c r="I427" s="13" t="s">
        <v>15</v>
      </c>
      <c r="J427" s="13">
        <v>9541</v>
      </c>
      <c r="K427" s="13">
        <v>984</v>
      </c>
      <c r="L427" s="18">
        <v>9388344</v>
      </c>
    </row>
    <row r="428" spans="2:12" x14ac:dyDescent="0.3">
      <c r="B428" s="17" t="s">
        <v>360</v>
      </c>
      <c r="C428" s="26" t="s">
        <v>429</v>
      </c>
      <c r="D428" s="13" t="s">
        <v>30</v>
      </c>
      <c r="E428" s="13" t="s">
        <v>146</v>
      </c>
      <c r="F428" s="13" t="s">
        <v>22</v>
      </c>
      <c r="G428" s="13" t="s">
        <v>113</v>
      </c>
      <c r="H428" s="13" t="s">
        <v>24</v>
      </c>
      <c r="I428" s="13" t="s">
        <v>15</v>
      </c>
      <c r="J428" s="13">
        <v>3649</v>
      </c>
      <c r="K428" s="13">
        <v>503</v>
      </c>
      <c r="L428" s="18">
        <v>1835447</v>
      </c>
    </row>
    <row r="429" spans="2:12" x14ac:dyDescent="0.3">
      <c r="B429" s="17" t="s">
        <v>361</v>
      </c>
      <c r="C429" s="26" t="s">
        <v>429</v>
      </c>
      <c r="D429" s="13" t="s">
        <v>30</v>
      </c>
      <c r="E429" s="13" t="s">
        <v>146</v>
      </c>
      <c r="F429" s="13" t="s">
        <v>22</v>
      </c>
      <c r="G429" s="13" t="s">
        <v>23</v>
      </c>
      <c r="H429" s="13" t="s">
        <v>24</v>
      </c>
      <c r="I429" s="13" t="s">
        <v>15</v>
      </c>
      <c r="J429" s="13">
        <v>1737</v>
      </c>
      <c r="K429" s="13">
        <v>571</v>
      </c>
      <c r="L429" s="18">
        <v>991827</v>
      </c>
    </row>
    <row r="430" spans="2:12" x14ac:dyDescent="0.3">
      <c r="B430" s="17" t="s">
        <v>362</v>
      </c>
      <c r="C430" s="26" t="s">
        <v>429</v>
      </c>
      <c r="D430" s="13" t="s">
        <v>30</v>
      </c>
      <c r="E430" s="13" t="s">
        <v>146</v>
      </c>
      <c r="F430" s="13" t="s">
        <v>56</v>
      </c>
      <c r="G430" s="13" t="s">
        <v>117</v>
      </c>
      <c r="H430" s="13" t="s">
        <v>58</v>
      </c>
      <c r="I430" s="13" t="s">
        <v>15</v>
      </c>
      <c r="J430" s="13">
        <v>7995</v>
      </c>
      <c r="K430" s="13">
        <v>910</v>
      </c>
      <c r="L430" s="18">
        <v>7275450</v>
      </c>
    </row>
    <row r="431" spans="2:12" x14ac:dyDescent="0.3">
      <c r="B431" s="17" t="s">
        <v>363</v>
      </c>
      <c r="C431" s="26" t="s">
        <v>429</v>
      </c>
      <c r="D431" s="13" t="s">
        <v>30</v>
      </c>
      <c r="E431" s="13" t="s">
        <v>146</v>
      </c>
      <c r="F431" s="13" t="s">
        <v>22</v>
      </c>
      <c r="G431" s="13" t="s">
        <v>119</v>
      </c>
      <c r="H431" s="13" t="s">
        <v>90</v>
      </c>
      <c r="I431" s="13" t="s">
        <v>45</v>
      </c>
      <c r="J431" s="13">
        <v>5228</v>
      </c>
      <c r="K431" s="13">
        <v>781</v>
      </c>
      <c r="L431" s="18">
        <v>4083068</v>
      </c>
    </row>
    <row r="432" spans="2:12" x14ac:dyDescent="0.3">
      <c r="B432" s="17" t="s">
        <v>364</v>
      </c>
      <c r="C432" s="26" t="s">
        <v>429</v>
      </c>
      <c r="D432" s="13" t="s">
        <v>158</v>
      </c>
      <c r="E432" s="13" t="s">
        <v>159</v>
      </c>
      <c r="F432" s="13" t="s">
        <v>22</v>
      </c>
      <c r="G432" s="13" t="s">
        <v>121</v>
      </c>
      <c r="H432" s="13" t="s">
        <v>24</v>
      </c>
      <c r="I432" s="13" t="s">
        <v>45</v>
      </c>
      <c r="J432" s="13">
        <v>7710</v>
      </c>
      <c r="K432" s="13">
        <v>954</v>
      </c>
      <c r="L432" s="18">
        <v>7355340</v>
      </c>
    </row>
    <row r="433" spans="2:12" x14ac:dyDescent="0.3">
      <c r="B433" s="17" t="s">
        <v>365</v>
      </c>
      <c r="C433" s="26" t="s">
        <v>429</v>
      </c>
      <c r="D433" s="13" t="s">
        <v>158</v>
      </c>
      <c r="E433" s="13" t="s">
        <v>159</v>
      </c>
      <c r="F433" s="13" t="s">
        <v>26</v>
      </c>
      <c r="G433" s="13" t="s">
        <v>123</v>
      </c>
      <c r="H433" s="13" t="s">
        <v>33</v>
      </c>
      <c r="I433" s="13" t="s">
        <v>45</v>
      </c>
      <c r="J433" s="13">
        <v>3333</v>
      </c>
      <c r="K433" s="13">
        <v>945</v>
      </c>
      <c r="L433" s="18">
        <v>3149685</v>
      </c>
    </row>
    <row r="434" spans="2:12" x14ac:dyDescent="0.3">
      <c r="B434" s="17" t="s">
        <v>366</v>
      </c>
      <c r="C434" s="26" t="s">
        <v>429</v>
      </c>
      <c r="D434" s="13" t="s">
        <v>158</v>
      </c>
      <c r="E434" s="13" t="s">
        <v>159</v>
      </c>
      <c r="F434" s="13" t="s">
        <v>13</v>
      </c>
      <c r="G434" s="13" t="s">
        <v>14</v>
      </c>
      <c r="H434" s="13" t="s">
        <v>14</v>
      </c>
      <c r="I434" s="13" t="s">
        <v>45</v>
      </c>
      <c r="J434" s="13">
        <v>9277</v>
      </c>
      <c r="K434" s="13">
        <v>839</v>
      </c>
      <c r="L434" s="18">
        <v>7783403</v>
      </c>
    </row>
    <row r="435" spans="2:12" x14ac:dyDescent="0.3">
      <c r="B435" s="17" t="s">
        <v>367</v>
      </c>
      <c r="C435" s="26" t="s">
        <v>429</v>
      </c>
      <c r="D435" s="13" t="s">
        <v>158</v>
      </c>
      <c r="E435" s="13" t="s">
        <v>159</v>
      </c>
      <c r="F435" s="13" t="s">
        <v>18</v>
      </c>
      <c r="G435" s="13" t="s">
        <v>19</v>
      </c>
      <c r="H435" s="13" t="s">
        <v>20</v>
      </c>
      <c r="I435" s="13" t="s">
        <v>45</v>
      </c>
      <c r="J435" s="13">
        <v>4277</v>
      </c>
      <c r="K435" s="13">
        <v>857</v>
      </c>
      <c r="L435" s="18">
        <v>3665389</v>
      </c>
    </row>
    <row r="436" spans="2:12" x14ac:dyDescent="0.3">
      <c r="B436" s="17" t="s">
        <v>368</v>
      </c>
      <c r="C436" s="26" t="s">
        <v>429</v>
      </c>
      <c r="D436" s="13" t="s">
        <v>158</v>
      </c>
      <c r="E436" s="13" t="s">
        <v>159</v>
      </c>
      <c r="F436" s="13" t="s">
        <v>13</v>
      </c>
      <c r="G436" s="13" t="s">
        <v>107</v>
      </c>
      <c r="H436" s="13" t="s">
        <v>108</v>
      </c>
      <c r="I436" s="13" t="s">
        <v>45</v>
      </c>
      <c r="J436" s="13">
        <v>1696</v>
      </c>
      <c r="K436" s="13">
        <v>868</v>
      </c>
      <c r="L436" s="18">
        <v>1472128</v>
      </c>
    </row>
    <row r="437" spans="2:12" ht="15" thickBot="1" x14ac:dyDescent="0.35">
      <c r="B437" s="19" t="s">
        <v>369</v>
      </c>
      <c r="C437" s="26" t="s">
        <v>429</v>
      </c>
      <c r="D437" s="20" t="s">
        <v>158</v>
      </c>
      <c r="E437" s="20" t="s">
        <v>159</v>
      </c>
      <c r="F437" s="20" t="s">
        <v>56</v>
      </c>
      <c r="G437" s="20" t="s">
        <v>110</v>
      </c>
      <c r="H437" s="20" t="s">
        <v>111</v>
      </c>
      <c r="I437" s="20" t="s">
        <v>45</v>
      </c>
      <c r="J437" s="20">
        <v>7071</v>
      </c>
      <c r="K437" s="20">
        <v>778</v>
      </c>
      <c r="L437" s="21">
        <v>5501238</v>
      </c>
    </row>
  </sheetData>
  <phoneticPr fontId="1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E818-8964-433D-B60A-3F0949361CDC}">
  <dimension ref="A1:J332"/>
  <sheetViews>
    <sheetView zoomScale="96" zoomScaleNormal="96" workbookViewId="0">
      <selection activeCell="I5" sqref="I5"/>
    </sheetView>
  </sheetViews>
  <sheetFormatPr defaultRowHeight="14.4" x14ac:dyDescent="0.3"/>
  <cols>
    <col min="1" max="1" width="26.6640625" bestFit="1" customWidth="1"/>
    <col min="2" max="2" width="14" customWidth="1"/>
    <col min="3" max="3" width="20.88671875" customWidth="1"/>
    <col min="4" max="4" width="20.6640625" bestFit="1" customWidth="1"/>
    <col min="5" max="5" width="14.21875" bestFit="1" customWidth="1"/>
    <col min="6" max="6" width="16.109375" bestFit="1" customWidth="1"/>
    <col min="7" max="7" width="16.109375" customWidth="1"/>
    <col min="8" max="8" width="13.88671875" customWidth="1"/>
    <col min="9" max="9" width="8.6640625" customWidth="1"/>
    <col min="10" max="10" width="22.44140625" customWidth="1"/>
  </cols>
  <sheetData>
    <row r="1" spans="1:10" ht="21.6" thickBot="1" x14ac:dyDescent="0.35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3" t="s">
        <v>9</v>
      </c>
    </row>
    <row r="2" spans="1:10" ht="15.6" thickTop="1" thickBot="1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15</v>
      </c>
      <c r="H2" s="1">
        <v>4292</v>
      </c>
      <c r="I2" s="1">
        <v>783</v>
      </c>
      <c r="J2" s="2">
        <v>3360636</v>
      </c>
    </row>
    <row r="3" spans="1:10" ht="15.6" thickTop="1" thickBot="1" x14ac:dyDescent="0.35">
      <c r="A3" s="1" t="s">
        <v>16</v>
      </c>
      <c r="B3" s="1" t="s">
        <v>11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15</v>
      </c>
      <c r="H3" s="1">
        <v>8037</v>
      </c>
      <c r="I3" s="1">
        <v>578</v>
      </c>
      <c r="J3" s="2">
        <v>4645386</v>
      </c>
    </row>
    <row r="4" spans="1:10" ht="15.6" thickTop="1" thickBot="1" x14ac:dyDescent="0.35">
      <c r="A4" s="1" t="s">
        <v>21</v>
      </c>
      <c r="B4" s="1" t="s">
        <v>11</v>
      </c>
      <c r="C4" s="1" t="s">
        <v>17</v>
      </c>
      <c r="D4" s="1" t="s">
        <v>22</v>
      </c>
      <c r="E4" s="1" t="s">
        <v>23</v>
      </c>
      <c r="F4" s="1" t="s">
        <v>24</v>
      </c>
      <c r="G4" s="1" t="s">
        <v>15</v>
      </c>
      <c r="H4" s="1">
        <v>2415</v>
      </c>
      <c r="I4" s="1">
        <v>631</v>
      </c>
      <c r="J4" s="2">
        <v>1523865</v>
      </c>
    </row>
    <row r="5" spans="1:10" ht="15.6" thickTop="1" thickBot="1" x14ac:dyDescent="0.35">
      <c r="A5" s="1" t="s">
        <v>25</v>
      </c>
      <c r="B5" s="1" t="s">
        <v>11</v>
      </c>
      <c r="C5" s="1" t="s">
        <v>17</v>
      </c>
      <c r="D5" s="1" t="s">
        <v>26</v>
      </c>
      <c r="E5" s="1" t="s">
        <v>27</v>
      </c>
      <c r="F5" s="1" t="s">
        <v>28</v>
      </c>
      <c r="G5" s="1" t="s">
        <v>15</v>
      </c>
      <c r="H5" s="1">
        <v>3941</v>
      </c>
      <c r="I5" s="1">
        <v>905</v>
      </c>
      <c r="J5" s="2">
        <v>3566605</v>
      </c>
    </row>
    <row r="6" spans="1:10" ht="15.6" thickTop="1" thickBot="1" x14ac:dyDescent="0.35">
      <c r="A6" s="1" t="s">
        <v>29</v>
      </c>
      <c r="B6" s="1" t="s">
        <v>30</v>
      </c>
      <c r="C6" s="1" t="s">
        <v>31</v>
      </c>
      <c r="D6" s="1" t="s">
        <v>26</v>
      </c>
      <c r="E6" s="1" t="s">
        <v>32</v>
      </c>
      <c r="F6" s="1" t="s">
        <v>33</v>
      </c>
      <c r="G6" s="1" t="s">
        <v>15</v>
      </c>
      <c r="H6" s="1">
        <v>4607</v>
      </c>
      <c r="I6" s="1">
        <v>813</v>
      </c>
      <c r="J6" s="2">
        <v>3745491</v>
      </c>
    </row>
    <row r="7" spans="1:10" ht="15.6" thickTop="1" thickBot="1" x14ac:dyDescent="0.35">
      <c r="A7" s="1" t="s">
        <v>34</v>
      </c>
      <c r="B7" s="1" t="s">
        <v>30</v>
      </c>
      <c r="C7" s="1" t="s">
        <v>31</v>
      </c>
      <c r="D7" s="1" t="s">
        <v>26</v>
      </c>
      <c r="E7" s="1" t="s">
        <v>35</v>
      </c>
      <c r="F7" s="1" t="s">
        <v>36</v>
      </c>
      <c r="G7" s="1" t="s">
        <v>15</v>
      </c>
      <c r="H7" s="1">
        <v>4261</v>
      </c>
      <c r="I7" s="1">
        <v>954</v>
      </c>
      <c r="J7" s="2">
        <v>4064994</v>
      </c>
    </row>
    <row r="8" spans="1:10" ht="15.6" thickTop="1" thickBot="1" x14ac:dyDescent="0.35">
      <c r="A8" s="1" t="s">
        <v>37</v>
      </c>
      <c r="B8" s="1" t="s">
        <v>30</v>
      </c>
      <c r="C8" s="1" t="s">
        <v>31</v>
      </c>
      <c r="D8" s="1" t="s">
        <v>18</v>
      </c>
      <c r="E8" s="1" t="s">
        <v>38</v>
      </c>
      <c r="F8" s="1" t="s">
        <v>39</v>
      </c>
      <c r="G8" s="1" t="s">
        <v>15</v>
      </c>
      <c r="H8" s="1">
        <v>9084</v>
      </c>
      <c r="I8" s="1">
        <v>610</v>
      </c>
      <c r="J8" s="2">
        <v>5541240</v>
      </c>
    </row>
    <row r="9" spans="1:10" ht="15.6" thickTop="1" thickBot="1" x14ac:dyDescent="0.35">
      <c r="A9" s="1" t="s">
        <v>40</v>
      </c>
      <c r="B9" s="1" t="s">
        <v>30</v>
      </c>
      <c r="C9" s="1" t="s">
        <v>31</v>
      </c>
      <c r="D9" s="1" t="s">
        <v>18</v>
      </c>
      <c r="E9" s="1" t="s">
        <v>41</v>
      </c>
      <c r="F9" s="1" t="s">
        <v>20</v>
      </c>
      <c r="G9" s="1" t="s">
        <v>15</v>
      </c>
      <c r="H9" s="1">
        <v>6694</v>
      </c>
      <c r="I9" s="1">
        <v>742</v>
      </c>
      <c r="J9" s="2">
        <v>4966948</v>
      </c>
    </row>
    <row r="10" spans="1:10" ht="15.6" thickTop="1" thickBot="1" x14ac:dyDescent="0.35">
      <c r="A10" s="1" t="s">
        <v>42</v>
      </c>
      <c r="B10" s="1" t="s">
        <v>11</v>
      </c>
      <c r="C10" s="1" t="s">
        <v>12</v>
      </c>
      <c r="D10" s="1" t="s">
        <v>13</v>
      </c>
      <c r="E10" s="1" t="s">
        <v>43</v>
      </c>
      <c r="F10" s="1" t="s">
        <v>44</v>
      </c>
      <c r="G10" s="1" t="s">
        <v>45</v>
      </c>
      <c r="H10" s="1">
        <v>2678</v>
      </c>
      <c r="I10" s="1">
        <v>567</v>
      </c>
      <c r="J10" s="2">
        <v>1518426</v>
      </c>
    </row>
    <row r="11" spans="1:10" ht="15.6" thickTop="1" thickBot="1" x14ac:dyDescent="0.35">
      <c r="A11" s="1" t="s">
        <v>46</v>
      </c>
      <c r="B11" s="1" t="s">
        <v>11</v>
      </c>
      <c r="C11" s="1" t="s">
        <v>12</v>
      </c>
      <c r="D11" s="1" t="s">
        <v>18</v>
      </c>
      <c r="E11" s="1" t="s">
        <v>47</v>
      </c>
      <c r="F11" s="1" t="s">
        <v>39</v>
      </c>
      <c r="G11" s="1" t="s">
        <v>45</v>
      </c>
      <c r="H11" s="1">
        <v>1631</v>
      </c>
      <c r="I11" s="1">
        <v>508</v>
      </c>
      <c r="J11" s="2">
        <v>828548</v>
      </c>
    </row>
    <row r="12" spans="1:10" ht="15.6" thickTop="1" thickBot="1" x14ac:dyDescent="0.35">
      <c r="A12" s="1" t="s">
        <v>48</v>
      </c>
      <c r="B12" s="1" t="s">
        <v>11</v>
      </c>
      <c r="C12" s="1" t="s">
        <v>12</v>
      </c>
      <c r="D12" s="1" t="s">
        <v>13</v>
      </c>
      <c r="E12" s="1" t="s">
        <v>49</v>
      </c>
      <c r="F12" s="1" t="s">
        <v>50</v>
      </c>
      <c r="G12" s="1" t="s">
        <v>45</v>
      </c>
      <c r="H12" s="1">
        <v>4171</v>
      </c>
      <c r="I12" s="1">
        <v>643</v>
      </c>
      <c r="J12" s="2">
        <v>2681953</v>
      </c>
    </row>
    <row r="13" spans="1:10" ht="15.6" thickTop="1" thickBot="1" x14ac:dyDescent="0.35">
      <c r="A13" s="1" t="s">
        <v>51</v>
      </c>
      <c r="B13" s="1" t="s">
        <v>11</v>
      </c>
      <c r="C13" s="1" t="s">
        <v>12</v>
      </c>
      <c r="D13" s="1" t="s">
        <v>13</v>
      </c>
      <c r="E13" s="1" t="s">
        <v>52</v>
      </c>
      <c r="F13" s="1" t="s">
        <v>50</v>
      </c>
      <c r="G13" s="1" t="s">
        <v>45</v>
      </c>
      <c r="H13" s="1">
        <v>4283</v>
      </c>
      <c r="I13" s="1">
        <v>804</v>
      </c>
      <c r="J13" s="2">
        <v>3443532</v>
      </c>
    </row>
    <row r="14" spans="1:10" ht="15.6" thickTop="1" thickBot="1" x14ac:dyDescent="0.35">
      <c r="A14" s="1" t="s">
        <v>53</v>
      </c>
      <c r="B14" s="1" t="s">
        <v>11</v>
      </c>
      <c r="C14" s="1" t="s">
        <v>12</v>
      </c>
      <c r="D14" s="1" t="s">
        <v>18</v>
      </c>
      <c r="E14" s="1" t="s">
        <v>54</v>
      </c>
      <c r="F14" s="1" t="s">
        <v>20</v>
      </c>
      <c r="G14" s="1" t="s">
        <v>45</v>
      </c>
      <c r="H14" s="1">
        <v>4249</v>
      </c>
      <c r="I14" s="1">
        <v>842</v>
      </c>
      <c r="J14" s="2">
        <v>3577658</v>
      </c>
    </row>
    <row r="15" spans="1:10" ht="15.6" thickTop="1" thickBot="1" x14ac:dyDescent="0.35">
      <c r="A15" s="1" t="s">
        <v>55</v>
      </c>
      <c r="B15" s="1" t="s">
        <v>11</v>
      </c>
      <c r="C15" s="1" t="s">
        <v>12</v>
      </c>
      <c r="D15" s="1" t="s">
        <v>56</v>
      </c>
      <c r="E15" s="1" t="s">
        <v>57</v>
      </c>
      <c r="F15" s="1" t="s">
        <v>58</v>
      </c>
      <c r="G15" s="1" t="s">
        <v>45</v>
      </c>
      <c r="H15" s="1">
        <v>1902</v>
      </c>
      <c r="I15" s="1">
        <v>671</v>
      </c>
      <c r="J15" s="2">
        <v>1276242</v>
      </c>
    </row>
    <row r="16" spans="1:10" ht="15.6" thickTop="1" thickBot="1" x14ac:dyDescent="0.35">
      <c r="A16" s="1" t="s">
        <v>59</v>
      </c>
      <c r="B16" s="1" t="s">
        <v>30</v>
      </c>
      <c r="C16" s="1" t="s">
        <v>60</v>
      </c>
      <c r="D16" s="1" t="s">
        <v>18</v>
      </c>
      <c r="E16" s="1" t="s">
        <v>61</v>
      </c>
      <c r="F16" s="1" t="s">
        <v>20</v>
      </c>
      <c r="G16" s="1" t="s">
        <v>45</v>
      </c>
      <c r="H16" s="1">
        <v>6166</v>
      </c>
      <c r="I16" s="1">
        <v>894</v>
      </c>
      <c r="J16" s="2">
        <v>5512404</v>
      </c>
    </row>
    <row r="17" spans="1:10" ht="15.6" thickTop="1" thickBot="1" x14ac:dyDescent="0.35">
      <c r="A17" s="1" t="s">
        <v>62</v>
      </c>
      <c r="B17" s="1" t="s">
        <v>30</v>
      </c>
      <c r="C17" s="1" t="s">
        <v>60</v>
      </c>
      <c r="D17" s="1" t="s">
        <v>63</v>
      </c>
      <c r="E17" s="1" t="s">
        <v>64</v>
      </c>
      <c r="F17" s="1" t="s">
        <v>64</v>
      </c>
      <c r="G17" s="1" t="s">
        <v>45</v>
      </c>
      <c r="H17" s="1">
        <v>3669</v>
      </c>
      <c r="I17" s="1">
        <v>541</v>
      </c>
      <c r="J17" s="2">
        <v>1984929</v>
      </c>
    </row>
    <row r="18" spans="1:10" ht="15.6" thickTop="1" thickBot="1" x14ac:dyDescent="0.35">
      <c r="A18" s="1" t="s">
        <v>65</v>
      </c>
      <c r="B18" s="1" t="s">
        <v>30</v>
      </c>
      <c r="C18" s="1" t="s">
        <v>60</v>
      </c>
      <c r="D18" s="1" t="s">
        <v>56</v>
      </c>
      <c r="E18" s="1" t="s">
        <v>66</v>
      </c>
      <c r="F18" s="1" t="s">
        <v>58</v>
      </c>
      <c r="G18" s="1" t="s">
        <v>45</v>
      </c>
      <c r="H18" s="1">
        <v>4667</v>
      </c>
      <c r="I18" s="1">
        <v>646</v>
      </c>
      <c r="J18" s="2">
        <v>3014882</v>
      </c>
    </row>
    <row r="19" spans="1:10" ht="15.6" thickTop="1" thickBot="1" x14ac:dyDescent="0.35">
      <c r="A19" s="1" t="s">
        <v>67</v>
      </c>
      <c r="B19" s="1" t="s">
        <v>30</v>
      </c>
      <c r="C19" s="1" t="s">
        <v>60</v>
      </c>
      <c r="D19" s="1" t="s">
        <v>26</v>
      </c>
      <c r="E19" s="1" t="s">
        <v>68</v>
      </c>
      <c r="F19" s="1" t="s">
        <v>69</v>
      </c>
      <c r="G19" s="1" t="s">
        <v>45</v>
      </c>
      <c r="H19" s="1">
        <v>6722</v>
      </c>
      <c r="I19" s="1">
        <v>671</v>
      </c>
      <c r="J19" s="2">
        <v>4510462</v>
      </c>
    </row>
    <row r="20" spans="1:10" ht="15.6" thickTop="1" thickBot="1" x14ac:dyDescent="0.35">
      <c r="A20" s="1" t="s">
        <v>70</v>
      </c>
      <c r="B20" s="1" t="s">
        <v>30</v>
      </c>
      <c r="C20" s="1" t="s">
        <v>60</v>
      </c>
      <c r="D20" s="1" t="s">
        <v>22</v>
      </c>
      <c r="E20" s="1" t="s">
        <v>71</v>
      </c>
      <c r="F20" s="1" t="s">
        <v>72</v>
      </c>
      <c r="G20" s="1" t="s">
        <v>45</v>
      </c>
      <c r="H20" s="1">
        <v>8821</v>
      </c>
      <c r="I20" s="1">
        <v>611</v>
      </c>
      <c r="J20" s="2">
        <v>5389631</v>
      </c>
    </row>
    <row r="21" spans="1:10" ht="15.6" thickTop="1" thickBot="1" x14ac:dyDescent="0.35">
      <c r="A21" s="1" t="s">
        <v>73</v>
      </c>
      <c r="B21" s="1" t="s">
        <v>30</v>
      </c>
      <c r="C21" s="1" t="s">
        <v>60</v>
      </c>
      <c r="D21" s="1" t="s">
        <v>18</v>
      </c>
      <c r="E21" s="1" t="s">
        <v>74</v>
      </c>
      <c r="F21" s="1" t="s">
        <v>39</v>
      </c>
      <c r="G21" s="1" t="s">
        <v>15</v>
      </c>
      <c r="H21" s="1">
        <v>5603</v>
      </c>
      <c r="I21" s="1">
        <v>671</v>
      </c>
      <c r="J21" s="2">
        <v>3759613</v>
      </c>
    </row>
    <row r="22" spans="1:10" ht="15.6" thickTop="1" thickBot="1" x14ac:dyDescent="0.35">
      <c r="A22" s="1" t="s">
        <v>75</v>
      </c>
      <c r="B22" s="1" t="s">
        <v>30</v>
      </c>
      <c r="C22" s="1" t="s">
        <v>60</v>
      </c>
      <c r="D22" s="1" t="s">
        <v>13</v>
      </c>
      <c r="E22" s="1" t="s">
        <v>76</v>
      </c>
      <c r="F22" s="1" t="s">
        <v>50</v>
      </c>
      <c r="G22" s="1" t="s">
        <v>15</v>
      </c>
      <c r="H22" s="1">
        <v>9513</v>
      </c>
      <c r="I22" s="1">
        <v>632</v>
      </c>
      <c r="J22" s="2">
        <v>6012216</v>
      </c>
    </row>
    <row r="23" spans="1:10" ht="15.6" thickTop="1" thickBot="1" x14ac:dyDescent="0.35">
      <c r="A23" s="1" t="s">
        <v>77</v>
      </c>
      <c r="B23" s="1" t="s">
        <v>11</v>
      </c>
      <c r="C23" s="1" t="s">
        <v>78</v>
      </c>
      <c r="D23" s="1" t="s">
        <v>13</v>
      </c>
      <c r="E23" s="1" t="s">
        <v>79</v>
      </c>
      <c r="F23" s="1" t="s">
        <v>50</v>
      </c>
      <c r="G23" s="1" t="s">
        <v>15</v>
      </c>
      <c r="H23" s="1">
        <v>9633</v>
      </c>
      <c r="I23" s="1">
        <v>891</v>
      </c>
      <c r="J23" s="2">
        <v>8583003</v>
      </c>
    </row>
    <row r="24" spans="1:10" ht="15.6" thickTop="1" thickBot="1" x14ac:dyDescent="0.35">
      <c r="A24" s="1" t="s">
        <v>80</v>
      </c>
      <c r="B24" s="1" t="s">
        <v>11</v>
      </c>
      <c r="C24" s="1" t="s">
        <v>78</v>
      </c>
      <c r="D24" s="1" t="s">
        <v>26</v>
      </c>
      <c r="E24" s="1" t="s">
        <v>81</v>
      </c>
      <c r="F24" s="1" t="s">
        <v>28</v>
      </c>
      <c r="G24" s="1" t="s">
        <v>15</v>
      </c>
      <c r="H24" s="1">
        <v>4332</v>
      </c>
      <c r="I24" s="1">
        <v>858</v>
      </c>
      <c r="J24" s="2">
        <v>3716856</v>
      </c>
    </row>
    <row r="25" spans="1:10" ht="15.6" thickTop="1" thickBot="1" x14ac:dyDescent="0.35">
      <c r="A25" s="1" t="s">
        <v>82</v>
      </c>
      <c r="B25" s="1" t="s">
        <v>11</v>
      </c>
      <c r="C25" s="1" t="s">
        <v>78</v>
      </c>
      <c r="D25" s="1" t="s">
        <v>26</v>
      </c>
      <c r="E25" s="1" t="s">
        <v>83</v>
      </c>
      <c r="F25" s="1" t="s">
        <v>28</v>
      </c>
      <c r="G25" s="1" t="s">
        <v>15</v>
      </c>
      <c r="H25" s="1">
        <v>1995</v>
      </c>
      <c r="I25" s="1">
        <v>897</v>
      </c>
      <c r="J25" s="2">
        <v>1789515</v>
      </c>
    </row>
    <row r="26" spans="1:10" ht="15.6" thickTop="1" thickBot="1" x14ac:dyDescent="0.35">
      <c r="A26" s="1" t="s">
        <v>84</v>
      </c>
      <c r="B26" s="1" t="s">
        <v>11</v>
      </c>
      <c r="C26" s="1" t="s">
        <v>78</v>
      </c>
      <c r="D26" s="1" t="s">
        <v>13</v>
      </c>
      <c r="E26" s="1" t="s">
        <v>85</v>
      </c>
      <c r="F26" s="1" t="s">
        <v>44</v>
      </c>
      <c r="G26" s="1" t="s">
        <v>45</v>
      </c>
      <c r="H26" s="1">
        <v>3691</v>
      </c>
      <c r="I26" s="1">
        <v>940</v>
      </c>
      <c r="J26" s="2">
        <v>3469540</v>
      </c>
    </row>
    <row r="27" spans="1:10" ht="15.6" thickTop="1" thickBot="1" x14ac:dyDescent="0.35">
      <c r="A27" s="1" t="s">
        <v>86</v>
      </c>
      <c r="B27" s="1" t="s">
        <v>11</v>
      </c>
      <c r="C27" s="1" t="s">
        <v>78</v>
      </c>
      <c r="D27" s="1" t="s">
        <v>13</v>
      </c>
      <c r="E27" s="1" t="s">
        <v>87</v>
      </c>
      <c r="F27" s="1" t="s">
        <v>50</v>
      </c>
      <c r="G27" s="1" t="s">
        <v>45</v>
      </c>
      <c r="H27" s="1">
        <v>2570</v>
      </c>
      <c r="I27" s="1">
        <v>704</v>
      </c>
      <c r="J27" s="2">
        <v>1809280</v>
      </c>
    </row>
    <row r="28" spans="1:10" ht="15.6" thickTop="1" thickBot="1" x14ac:dyDescent="0.35">
      <c r="A28" s="1" t="s">
        <v>88</v>
      </c>
      <c r="B28" s="1" t="s">
        <v>11</v>
      </c>
      <c r="C28" s="1" t="s">
        <v>78</v>
      </c>
      <c r="D28" s="1" t="s">
        <v>22</v>
      </c>
      <c r="E28" s="1" t="s">
        <v>89</v>
      </c>
      <c r="F28" s="1" t="s">
        <v>90</v>
      </c>
      <c r="G28" s="1" t="s">
        <v>45</v>
      </c>
      <c r="H28" s="1">
        <v>2952</v>
      </c>
      <c r="I28" s="1">
        <v>972</v>
      </c>
      <c r="J28" s="2">
        <v>2869344</v>
      </c>
    </row>
    <row r="29" spans="1:10" ht="15.6" thickTop="1" thickBot="1" x14ac:dyDescent="0.35">
      <c r="A29" s="1" t="s">
        <v>91</v>
      </c>
      <c r="B29" s="1" t="s">
        <v>11</v>
      </c>
      <c r="C29" s="1" t="s">
        <v>78</v>
      </c>
      <c r="D29" s="1" t="s">
        <v>26</v>
      </c>
      <c r="E29" s="1" t="s">
        <v>92</v>
      </c>
      <c r="F29" s="1" t="s">
        <v>93</v>
      </c>
      <c r="G29" s="1" t="s">
        <v>45</v>
      </c>
      <c r="H29" s="1">
        <v>1992</v>
      </c>
      <c r="I29" s="1">
        <v>538</v>
      </c>
      <c r="J29" s="2">
        <v>1071696</v>
      </c>
    </row>
    <row r="30" spans="1:10" ht="15.6" thickTop="1" thickBot="1" x14ac:dyDescent="0.35">
      <c r="A30" s="1" t="s">
        <v>94</v>
      </c>
      <c r="B30" s="1" t="s">
        <v>11</v>
      </c>
      <c r="C30" s="1" t="s">
        <v>78</v>
      </c>
      <c r="D30" s="1" t="s">
        <v>18</v>
      </c>
      <c r="E30" s="1" t="s">
        <v>95</v>
      </c>
      <c r="F30" s="1" t="s">
        <v>20</v>
      </c>
      <c r="G30" s="1" t="s">
        <v>45</v>
      </c>
      <c r="H30" s="1">
        <v>2907</v>
      </c>
      <c r="I30" s="1">
        <v>750</v>
      </c>
      <c r="J30" s="2">
        <v>2180250</v>
      </c>
    </row>
    <row r="31" spans="1:10" ht="15.6" thickTop="1" thickBot="1" x14ac:dyDescent="0.35">
      <c r="A31" s="1" t="s">
        <v>96</v>
      </c>
      <c r="B31" s="1" t="s">
        <v>11</v>
      </c>
      <c r="C31" s="1" t="s">
        <v>78</v>
      </c>
      <c r="D31" s="1" t="s">
        <v>13</v>
      </c>
      <c r="E31" s="1" t="s">
        <v>97</v>
      </c>
      <c r="F31" s="1" t="s">
        <v>98</v>
      </c>
      <c r="G31" s="1" t="s">
        <v>45</v>
      </c>
      <c r="H31" s="1">
        <v>2936</v>
      </c>
      <c r="I31" s="1">
        <v>558</v>
      </c>
      <c r="J31" s="2">
        <v>1638288</v>
      </c>
    </row>
    <row r="32" spans="1:10" ht="15.6" thickTop="1" thickBot="1" x14ac:dyDescent="0.35">
      <c r="A32" s="1" t="s">
        <v>99</v>
      </c>
      <c r="B32" s="1" t="s">
        <v>11</v>
      </c>
      <c r="C32" s="1" t="s">
        <v>78</v>
      </c>
      <c r="D32" s="1" t="s">
        <v>13</v>
      </c>
      <c r="E32" s="1" t="s">
        <v>100</v>
      </c>
      <c r="F32" s="1" t="s">
        <v>101</v>
      </c>
      <c r="G32" s="1" t="s">
        <v>45</v>
      </c>
      <c r="H32" s="1">
        <v>1784</v>
      </c>
      <c r="I32" s="1">
        <v>799</v>
      </c>
      <c r="J32" s="2">
        <v>1425416</v>
      </c>
    </row>
    <row r="33" spans="1:10" ht="15.6" thickTop="1" thickBot="1" x14ac:dyDescent="0.35">
      <c r="A33" s="1" t="s">
        <v>102</v>
      </c>
      <c r="B33" s="1" t="s">
        <v>11</v>
      </c>
      <c r="C33" s="1" t="s">
        <v>78</v>
      </c>
      <c r="D33" s="1" t="s">
        <v>103</v>
      </c>
      <c r="E33" s="1" t="s">
        <v>104</v>
      </c>
      <c r="F33" s="1" t="s">
        <v>105</v>
      </c>
      <c r="G33" s="1" t="s">
        <v>15</v>
      </c>
      <c r="H33" s="1">
        <v>3010</v>
      </c>
      <c r="I33" s="1">
        <v>603</v>
      </c>
      <c r="J33" s="2">
        <v>1815030</v>
      </c>
    </row>
    <row r="34" spans="1:10" ht="15.6" thickTop="1" thickBot="1" x14ac:dyDescent="0.35">
      <c r="A34" s="1" t="s">
        <v>106</v>
      </c>
      <c r="B34" s="1" t="s">
        <v>11</v>
      </c>
      <c r="C34" s="1" t="s">
        <v>78</v>
      </c>
      <c r="D34" s="1" t="s">
        <v>13</v>
      </c>
      <c r="E34" s="1" t="s">
        <v>107</v>
      </c>
      <c r="F34" s="1" t="s">
        <v>108</v>
      </c>
      <c r="G34" s="1" t="s">
        <v>15</v>
      </c>
      <c r="H34" s="1">
        <v>9118</v>
      </c>
      <c r="I34" s="1">
        <v>694</v>
      </c>
      <c r="J34" s="2">
        <v>6327892</v>
      </c>
    </row>
    <row r="35" spans="1:10" ht="15.6" thickTop="1" thickBot="1" x14ac:dyDescent="0.35">
      <c r="A35" s="1" t="s">
        <v>109</v>
      </c>
      <c r="B35" s="1" t="s">
        <v>11</v>
      </c>
      <c r="C35" s="1" t="s">
        <v>78</v>
      </c>
      <c r="D35" s="1" t="s">
        <v>56</v>
      </c>
      <c r="E35" s="1" t="s">
        <v>110</v>
      </c>
      <c r="F35" s="1" t="s">
        <v>111</v>
      </c>
      <c r="G35" s="1" t="s">
        <v>15</v>
      </c>
      <c r="H35" s="1">
        <v>7291</v>
      </c>
      <c r="I35" s="1">
        <v>837</v>
      </c>
      <c r="J35" s="2">
        <v>6102567</v>
      </c>
    </row>
    <row r="36" spans="1:10" ht="15.6" thickTop="1" thickBot="1" x14ac:dyDescent="0.35">
      <c r="A36" s="1" t="s">
        <v>112</v>
      </c>
      <c r="B36" s="1" t="s">
        <v>11</v>
      </c>
      <c r="C36" s="1" t="s">
        <v>78</v>
      </c>
      <c r="D36" s="1" t="s">
        <v>22</v>
      </c>
      <c r="E36" s="1" t="s">
        <v>113</v>
      </c>
      <c r="F36" s="1" t="s">
        <v>24</v>
      </c>
      <c r="G36" s="1" t="s">
        <v>15</v>
      </c>
      <c r="H36" s="1">
        <v>3141</v>
      </c>
      <c r="I36" s="1">
        <v>834</v>
      </c>
      <c r="J36" s="2">
        <v>2619594</v>
      </c>
    </row>
    <row r="37" spans="1:10" ht="15.6" thickTop="1" thickBot="1" x14ac:dyDescent="0.35">
      <c r="A37" s="1" t="s">
        <v>114</v>
      </c>
      <c r="B37" s="1" t="s">
        <v>11</v>
      </c>
      <c r="C37" s="1" t="s">
        <v>78</v>
      </c>
      <c r="D37" s="1" t="s">
        <v>22</v>
      </c>
      <c r="E37" s="1" t="s">
        <v>23</v>
      </c>
      <c r="F37" s="1" t="s">
        <v>24</v>
      </c>
      <c r="G37" s="1" t="s">
        <v>45</v>
      </c>
      <c r="H37" s="1">
        <v>7170</v>
      </c>
      <c r="I37" s="1">
        <v>521</v>
      </c>
      <c r="J37" s="2">
        <v>3735570</v>
      </c>
    </row>
    <row r="38" spans="1:10" ht="15.6" thickTop="1" thickBot="1" x14ac:dyDescent="0.35">
      <c r="A38" s="1" t="s">
        <v>115</v>
      </c>
      <c r="B38" s="1" t="s">
        <v>11</v>
      </c>
      <c r="C38" s="1" t="s">
        <v>116</v>
      </c>
      <c r="D38" s="1" t="s">
        <v>56</v>
      </c>
      <c r="E38" s="1" t="s">
        <v>117</v>
      </c>
      <c r="F38" s="1" t="s">
        <v>58</v>
      </c>
      <c r="G38" s="1" t="s">
        <v>45</v>
      </c>
      <c r="H38" s="1">
        <v>4724</v>
      </c>
      <c r="I38" s="1">
        <v>951</v>
      </c>
      <c r="J38" s="2">
        <v>4492524</v>
      </c>
    </row>
    <row r="39" spans="1:10" ht="15.6" thickTop="1" thickBot="1" x14ac:dyDescent="0.35">
      <c r="A39" s="1" t="s">
        <v>118</v>
      </c>
      <c r="B39" s="1" t="s">
        <v>11</v>
      </c>
      <c r="C39" s="1" t="s">
        <v>116</v>
      </c>
      <c r="D39" s="1" t="s">
        <v>22</v>
      </c>
      <c r="E39" s="1" t="s">
        <v>119</v>
      </c>
      <c r="F39" s="1" t="s">
        <v>90</v>
      </c>
      <c r="G39" s="1" t="s">
        <v>45</v>
      </c>
      <c r="H39" s="1">
        <v>5398</v>
      </c>
      <c r="I39" s="1">
        <v>832</v>
      </c>
      <c r="J39" s="2">
        <v>4491136</v>
      </c>
    </row>
    <row r="40" spans="1:10" ht="15.6" thickTop="1" thickBot="1" x14ac:dyDescent="0.35">
      <c r="A40" s="1" t="s">
        <v>120</v>
      </c>
      <c r="B40" s="1" t="s">
        <v>11</v>
      </c>
      <c r="C40" s="1" t="s">
        <v>116</v>
      </c>
      <c r="D40" s="1" t="s">
        <v>22</v>
      </c>
      <c r="E40" s="1" t="s">
        <v>121</v>
      </c>
      <c r="F40" s="1" t="s">
        <v>24</v>
      </c>
      <c r="G40" s="1" t="s">
        <v>45</v>
      </c>
      <c r="H40" s="1">
        <v>9466</v>
      </c>
      <c r="I40" s="1">
        <v>933</v>
      </c>
      <c r="J40" s="2">
        <v>8831778</v>
      </c>
    </row>
    <row r="41" spans="1:10" ht="15.6" thickTop="1" thickBot="1" x14ac:dyDescent="0.35">
      <c r="A41" s="1" t="s">
        <v>122</v>
      </c>
      <c r="B41" s="1" t="s">
        <v>11</v>
      </c>
      <c r="C41" s="1" t="s">
        <v>116</v>
      </c>
      <c r="D41" s="1" t="s">
        <v>26</v>
      </c>
      <c r="E41" s="1" t="s">
        <v>123</v>
      </c>
      <c r="F41" s="1" t="s">
        <v>33</v>
      </c>
      <c r="G41" s="1" t="s">
        <v>45</v>
      </c>
      <c r="H41" s="1">
        <v>4168</v>
      </c>
      <c r="I41" s="1">
        <v>769</v>
      </c>
      <c r="J41" s="2">
        <v>3205192</v>
      </c>
    </row>
    <row r="42" spans="1:10" ht="15.6" thickTop="1" thickBot="1" x14ac:dyDescent="0.35">
      <c r="A42" s="1" t="s">
        <v>124</v>
      </c>
      <c r="B42" s="1" t="s">
        <v>11</v>
      </c>
      <c r="C42" s="1" t="s">
        <v>116</v>
      </c>
      <c r="D42" s="1" t="s">
        <v>13</v>
      </c>
      <c r="E42" s="1" t="s">
        <v>14</v>
      </c>
      <c r="F42" s="1" t="s">
        <v>14</v>
      </c>
      <c r="G42" s="1" t="s">
        <v>45</v>
      </c>
      <c r="H42" s="1">
        <v>5773</v>
      </c>
      <c r="I42" s="1">
        <v>627</v>
      </c>
      <c r="J42" s="2">
        <v>3619671</v>
      </c>
    </row>
    <row r="43" spans="1:10" ht="15.6" thickTop="1" thickBot="1" x14ac:dyDescent="0.35">
      <c r="A43" s="1" t="s">
        <v>125</v>
      </c>
      <c r="B43" s="1" t="s">
        <v>11</v>
      </c>
      <c r="C43" s="1" t="s">
        <v>116</v>
      </c>
      <c r="D43" s="1" t="s">
        <v>18</v>
      </c>
      <c r="E43" s="1" t="s">
        <v>19</v>
      </c>
      <c r="F43" s="1" t="s">
        <v>20</v>
      </c>
      <c r="G43" s="1" t="s">
        <v>45</v>
      </c>
      <c r="H43" s="1">
        <v>8417</v>
      </c>
      <c r="I43" s="1">
        <v>918</v>
      </c>
      <c r="J43" s="2">
        <v>7726806</v>
      </c>
    </row>
    <row r="44" spans="1:10" ht="15.6" thickTop="1" thickBot="1" x14ac:dyDescent="0.35">
      <c r="A44" s="1" t="s">
        <v>126</v>
      </c>
      <c r="B44" s="1" t="s">
        <v>11</v>
      </c>
      <c r="C44" s="1" t="s">
        <v>116</v>
      </c>
      <c r="D44" s="1" t="s">
        <v>22</v>
      </c>
      <c r="E44" s="1" t="s">
        <v>23</v>
      </c>
      <c r="F44" s="1" t="s">
        <v>24</v>
      </c>
      <c r="G44" s="1" t="s">
        <v>45</v>
      </c>
      <c r="H44" s="1">
        <v>4691</v>
      </c>
      <c r="I44" s="1">
        <v>901</v>
      </c>
      <c r="J44" s="2">
        <v>4226591</v>
      </c>
    </row>
    <row r="45" spans="1:10" ht="15.6" thickTop="1" thickBot="1" x14ac:dyDescent="0.35">
      <c r="A45" s="1" t="s">
        <v>127</v>
      </c>
      <c r="B45" s="1" t="s">
        <v>11</v>
      </c>
      <c r="C45" s="1" t="s">
        <v>116</v>
      </c>
      <c r="D45" s="1" t="s">
        <v>26</v>
      </c>
      <c r="E45" s="1" t="s">
        <v>27</v>
      </c>
      <c r="F45" s="1" t="s">
        <v>28</v>
      </c>
      <c r="G45" s="1" t="s">
        <v>45</v>
      </c>
      <c r="H45" s="1">
        <v>5945</v>
      </c>
      <c r="I45" s="1">
        <v>887</v>
      </c>
      <c r="J45" s="2">
        <v>5273215</v>
      </c>
    </row>
    <row r="46" spans="1:10" ht="15.6" thickTop="1" thickBot="1" x14ac:dyDescent="0.35">
      <c r="A46" s="1" t="s">
        <v>128</v>
      </c>
      <c r="B46" s="1" t="s">
        <v>11</v>
      </c>
      <c r="C46" s="1" t="s">
        <v>116</v>
      </c>
      <c r="D46" s="1" t="s">
        <v>26</v>
      </c>
      <c r="E46" s="1" t="s">
        <v>32</v>
      </c>
      <c r="F46" s="1" t="s">
        <v>33</v>
      </c>
      <c r="G46" s="1" t="s">
        <v>45</v>
      </c>
      <c r="H46" s="1">
        <v>6807</v>
      </c>
      <c r="I46" s="1">
        <v>607</v>
      </c>
      <c r="J46" s="2">
        <v>4131849</v>
      </c>
    </row>
    <row r="47" spans="1:10" ht="15.6" thickTop="1" thickBot="1" x14ac:dyDescent="0.35">
      <c r="A47" s="1" t="s">
        <v>129</v>
      </c>
      <c r="B47" s="1" t="s">
        <v>11</v>
      </c>
      <c r="C47" s="1" t="s">
        <v>116</v>
      </c>
      <c r="D47" s="1" t="s">
        <v>26</v>
      </c>
      <c r="E47" s="1" t="s">
        <v>35</v>
      </c>
      <c r="F47" s="1" t="s">
        <v>36</v>
      </c>
      <c r="G47" s="1" t="s">
        <v>15</v>
      </c>
      <c r="H47" s="1">
        <v>3546</v>
      </c>
      <c r="I47" s="1">
        <v>562</v>
      </c>
      <c r="J47" s="2">
        <v>1992852</v>
      </c>
    </row>
    <row r="48" spans="1:10" ht="15.6" thickTop="1" thickBot="1" x14ac:dyDescent="0.35">
      <c r="A48" s="1" t="s">
        <v>130</v>
      </c>
      <c r="B48" s="1" t="s">
        <v>11</v>
      </c>
      <c r="C48" s="1" t="s">
        <v>116</v>
      </c>
      <c r="D48" s="1" t="s">
        <v>18</v>
      </c>
      <c r="E48" s="1" t="s">
        <v>38</v>
      </c>
      <c r="F48" s="1" t="s">
        <v>39</v>
      </c>
      <c r="G48" s="1" t="s">
        <v>15</v>
      </c>
      <c r="H48" s="1">
        <v>9463</v>
      </c>
      <c r="I48" s="1">
        <v>615</v>
      </c>
      <c r="J48" s="2">
        <v>5819745</v>
      </c>
    </row>
    <row r="49" spans="1:10" ht="15.6" thickTop="1" thickBot="1" x14ac:dyDescent="0.35">
      <c r="A49" s="1" t="s">
        <v>131</v>
      </c>
      <c r="B49" s="1" t="s">
        <v>11</v>
      </c>
      <c r="C49" s="1" t="s">
        <v>116</v>
      </c>
      <c r="D49" s="1" t="s">
        <v>18</v>
      </c>
      <c r="E49" s="1" t="s">
        <v>41</v>
      </c>
      <c r="F49" s="1" t="s">
        <v>20</v>
      </c>
      <c r="G49" s="1" t="s">
        <v>15</v>
      </c>
      <c r="H49" s="1">
        <v>9927</v>
      </c>
      <c r="I49" s="1">
        <v>631</v>
      </c>
      <c r="J49" s="2">
        <v>6263937</v>
      </c>
    </row>
    <row r="50" spans="1:10" ht="15.6" thickTop="1" thickBot="1" x14ac:dyDescent="0.35">
      <c r="A50" s="1" t="s">
        <v>132</v>
      </c>
      <c r="B50" s="1" t="s">
        <v>30</v>
      </c>
      <c r="C50" s="1" t="s">
        <v>133</v>
      </c>
      <c r="D50" s="1" t="s">
        <v>13</v>
      </c>
      <c r="E50" s="1" t="s">
        <v>43</v>
      </c>
      <c r="F50" s="1" t="s">
        <v>44</v>
      </c>
      <c r="G50" s="1" t="s">
        <v>15</v>
      </c>
      <c r="H50" s="1">
        <v>1666</v>
      </c>
      <c r="I50" s="1">
        <v>714</v>
      </c>
      <c r="J50" s="2">
        <v>1189524</v>
      </c>
    </row>
    <row r="51" spans="1:10" ht="15.6" thickTop="1" thickBot="1" x14ac:dyDescent="0.35">
      <c r="A51" s="1" t="s">
        <v>134</v>
      </c>
      <c r="B51" s="1" t="s">
        <v>30</v>
      </c>
      <c r="C51" s="1" t="s">
        <v>133</v>
      </c>
      <c r="D51" s="1" t="s">
        <v>18</v>
      </c>
      <c r="E51" s="1" t="s">
        <v>47</v>
      </c>
      <c r="F51" s="1" t="s">
        <v>39</v>
      </c>
      <c r="G51" s="1" t="s">
        <v>15</v>
      </c>
      <c r="H51" s="1">
        <v>9392</v>
      </c>
      <c r="I51" s="1">
        <v>631</v>
      </c>
      <c r="J51" s="2">
        <v>5926352</v>
      </c>
    </row>
    <row r="52" spans="1:10" ht="15.6" thickTop="1" thickBot="1" x14ac:dyDescent="0.35">
      <c r="A52" s="1" t="s">
        <v>135</v>
      </c>
      <c r="B52" s="1" t="s">
        <v>30</v>
      </c>
      <c r="C52" s="1" t="s">
        <v>133</v>
      </c>
      <c r="D52" s="1" t="s">
        <v>13</v>
      </c>
      <c r="E52" s="1" t="s">
        <v>49</v>
      </c>
      <c r="F52" s="1" t="s">
        <v>50</v>
      </c>
      <c r="G52" s="1" t="s">
        <v>45</v>
      </c>
      <c r="H52" s="1">
        <v>7124</v>
      </c>
      <c r="I52" s="1">
        <v>693</v>
      </c>
      <c r="J52" s="2">
        <v>4936932</v>
      </c>
    </row>
    <row r="53" spans="1:10" ht="15.6" thickTop="1" thickBot="1" x14ac:dyDescent="0.35">
      <c r="A53" s="1" t="s">
        <v>136</v>
      </c>
      <c r="B53" s="1" t="s">
        <v>30</v>
      </c>
      <c r="C53" s="1" t="s">
        <v>133</v>
      </c>
      <c r="D53" s="1" t="s">
        <v>13</v>
      </c>
      <c r="E53" s="1" t="s">
        <v>52</v>
      </c>
      <c r="F53" s="1" t="s">
        <v>50</v>
      </c>
      <c r="G53" s="1" t="s">
        <v>45</v>
      </c>
      <c r="H53" s="1">
        <v>9636</v>
      </c>
      <c r="I53" s="1">
        <v>873</v>
      </c>
      <c r="J53" s="2">
        <v>8412228</v>
      </c>
    </row>
    <row r="54" spans="1:10" ht="15.6" thickTop="1" thickBot="1" x14ac:dyDescent="0.35">
      <c r="A54" s="1" t="s">
        <v>137</v>
      </c>
      <c r="B54" s="1" t="s">
        <v>30</v>
      </c>
      <c r="C54" s="1" t="s">
        <v>133</v>
      </c>
      <c r="D54" s="1" t="s">
        <v>18</v>
      </c>
      <c r="E54" s="1" t="s">
        <v>54</v>
      </c>
      <c r="F54" s="1" t="s">
        <v>20</v>
      </c>
      <c r="G54" s="1" t="s">
        <v>45</v>
      </c>
      <c r="H54" s="1">
        <v>6596</v>
      </c>
      <c r="I54" s="1">
        <v>811</v>
      </c>
      <c r="J54" s="2">
        <v>5349356</v>
      </c>
    </row>
    <row r="55" spans="1:10" ht="15.6" thickTop="1" thickBot="1" x14ac:dyDescent="0.35">
      <c r="A55" s="1" t="s">
        <v>138</v>
      </c>
      <c r="B55" s="1" t="s">
        <v>30</v>
      </c>
      <c r="C55" s="1" t="s">
        <v>133</v>
      </c>
      <c r="D55" s="1" t="s">
        <v>56</v>
      </c>
      <c r="E55" s="1" t="s">
        <v>57</v>
      </c>
      <c r="F55" s="1" t="s">
        <v>58</v>
      </c>
      <c r="G55" s="1" t="s">
        <v>45</v>
      </c>
      <c r="H55" s="1">
        <v>6338</v>
      </c>
      <c r="I55" s="1">
        <v>540</v>
      </c>
      <c r="J55" s="2">
        <v>3422520</v>
      </c>
    </row>
    <row r="56" spans="1:10" ht="15.6" thickTop="1" thickBot="1" x14ac:dyDescent="0.35">
      <c r="A56" s="1" t="s">
        <v>139</v>
      </c>
      <c r="B56" s="1" t="s">
        <v>30</v>
      </c>
      <c r="C56" s="1" t="s">
        <v>133</v>
      </c>
      <c r="D56" s="1" t="s">
        <v>18</v>
      </c>
      <c r="E56" s="1" t="s">
        <v>61</v>
      </c>
      <c r="F56" s="1" t="s">
        <v>20</v>
      </c>
      <c r="G56" s="1" t="s">
        <v>45</v>
      </c>
      <c r="H56" s="1">
        <v>8446</v>
      </c>
      <c r="I56" s="1">
        <v>812</v>
      </c>
      <c r="J56" s="2">
        <v>6858152</v>
      </c>
    </row>
    <row r="57" spans="1:10" ht="15.6" thickTop="1" thickBot="1" x14ac:dyDescent="0.35">
      <c r="A57" s="1" t="s">
        <v>140</v>
      </c>
      <c r="B57" s="1" t="s">
        <v>30</v>
      </c>
      <c r="C57" s="1" t="s">
        <v>133</v>
      </c>
      <c r="D57" s="1" t="s">
        <v>63</v>
      </c>
      <c r="E57" s="1" t="s">
        <v>64</v>
      </c>
      <c r="F57" s="1" t="s">
        <v>64</v>
      </c>
      <c r="G57" s="1" t="s">
        <v>45</v>
      </c>
      <c r="H57" s="1">
        <v>9102</v>
      </c>
      <c r="I57" s="1">
        <v>894</v>
      </c>
      <c r="J57" s="2">
        <v>8137188</v>
      </c>
    </row>
    <row r="58" spans="1:10" ht="15.6" thickTop="1" thickBot="1" x14ac:dyDescent="0.35">
      <c r="A58" s="1" t="s">
        <v>141</v>
      </c>
      <c r="B58" s="1" t="s">
        <v>30</v>
      </c>
      <c r="C58" s="1" t="s">
        <v>133</v>
      </c>
      <c r="D58" s="1" t="s">
        <v>56</v>
      </c>
      <c r="E58" s="1" t="s">
        <v>66</v>
      </c>
      <c r="F58" s="1" t="s">
        <v>58</v>
      </c>
      <c r="G58" s="1" t="s">
        <v>45</v>
      </c>
      <c r="H58" s="1">
        <v>3887</v>
      </c>
      <c r="I58" s="1">
        <v>912</v>
      </c>
      <c r="J58" s="2">
        <v>3544944</v>
      </c>
    </row>
    <row r="59" spans="1:10" ht="15.6" thickTop="1" thickBot="1" x14ac:dyDescent="0.35">
      <c r="A59" s="1" t="s">
        <v>142</v>
      </c>
      <c r="B59" s="1" t="s">
        <v>30</v>
      </c>
      <c r="C59" s="1" t="s">
        <v>133</v>
      </c>
      <c r="D59" s="1" t="s">
        <v>26</v>
      </c>
      <c r="E59" s="1" t="s">
        <v>68</v>
      </c>
      <c r="F59" s="1" t="s">
        <v>69</v>
      </c>
      <c r="G59" s="1" t="s">
        <v>15</v>
      </c>
      <c r="H59" s="1">
        <v>9519</v>
      </c>
      <c r="I59" s="1">
        <v>970</v>
      </c>
      <c r="J59" s="2">
        <v>9233430</v>
      </c>
    </row>
    <row r="60" spans="1:10" ht="15.6" thickTop="1" thickBot="1" x14ac:dyDescent="0.35">
      <c r="A60" s="1" t="s">
        <v>143</v>
      </c>
      <c r="B60" s="1" t="s">
        <v>30</v>
      </c>
      <c r="C60" s="1" t="s">
        <v>133</v>
      </c>
      <c r="D60" s="1" t="s">
        <v>22</v>
      </c>
      <c r="E60" s="1" t="s">
        <v>71</v>
      </c>
      <c r="F60" s="1" t="s">
        <v>72</v>
      </c>
      <c r="G60" s="1" t="s">
        <v>15</v>
      </c>
      <c r="H60" s="1">
        <v>8983</v>
      </c>
      <c r="I60" s="1">
        <v>840</v>
      </c>
      <c r="J60" s="2">
        <v>7545720</v>
      </c>
    </row>
    <row r="61" spans="1:10" ht="15.6" thickTop="1" thickBot="1" x14ac:dyDescent="0.35">
      <c r="A61" s="1" t="s">
        <v>144</v>
      </c>
      <c r="B61" s="1" t="s">
        <v>30</v>
      </c>
      <c r="C61" s="1" t="s">
        <v>133</v>
      </c>
      <c r="D61" s="1" t="s">
        <v>18</v>
      </c>
      <c r="E61" s="1" t="s">
        <v>74</v>
      </c>
      <c r="F61" s="1" t="s">
        <v>39</v>
      </c>
      <c r="G61" s="1" t="s">
        <v>15</v>
      </c>
      <c r="H61" s="1">
        <v>6892</v>
      </c>
      <c r="I61" s="1">
        <v>643</v>
      </c>
      <c r="J61" s="2">
        <v>4431556</v>
      </c>
    </row>
    <row r="62" spans="1:10" ht="15.6" thickTop="1" thickBot="1" x14ac:dyDescent="0.35">
      <c r="A62" s="1" t="s">
        <v>145</v>
      </c>
      <c r="B62" s="1" t="s">
        <v>30</v>
      </c>
      <c r="C62" s="1" t="s">
        <v>146</v>
      </c>
      <c r="D62" s="1" t="s">
        <v>13</v>
      </c>
      <c r="E62" s="1" t="s">
        <v>76</v>
      </c>
      <c r="F62" s="1" t="s">
        <v>50</v>
      </c>
      <c r="G62" s="1" t="s">
        <v>15</v>
      </c>
      <c r="H62" s="1">
        <v>6946</v>
      </c>
      <c r="I62" s="1">
        <v>882</v>
      </c>
      <c r="J62" s="2">
        <v>6126372</v>
      </c>
    </row>
    <row r="63" spans="1:10" ht="15.6" thickTop="1" thickBot="1" x14ac:dyDescent="0.35">
      <c r="A63" s="1" t="s">
        <v>147</v>
      </c>
      <c r="B63" s="1" t="s">
        <v>30</v>
      </c>
      <c r="C63" s="1" t="s">
        <v>146</v>
      </c>
      <c r="D63" s="1" t="s">
        <v>13</v>
      </c>
      <c r="E63" s="1" t="s">
        <v>79</v>
      </c>
      <c r="F63" s="1" t="s">
        <v>50</v>
      </c>
      <c r="G63" s="1" t="s">
        <v>45</v>
      </c>
      <c r="H63" s="1">
        <v>8990</v>
      </c>
      <c r="I63" s="1">
        <v>666</v>
      </c>
      <c r="J63" s="2">
        <v>5987340</v>
      </c>
    </row>
    <row r="64" spans="1:10" ht="15.6" thickTop="1" thickBot="1" x14ac:dyDescent="0.35">
      <c r="A64" s="1" t="s">
        <v>148</v>
      </c>
      <c r="B64" s="1" t="s">
        <v>30</v>
      </c>
      <c r="C64" s="1" t="s">
        <v>146</v>
      </c>
      <c r="D64" s="1" t="s">
        <v>26</v>
      </c>
      <c r="E64" s="1" t="s">
        <v>81</v>
      </c>
      <c r="F64" s="1" t="s">
        <v>28</v>
      </c>
      <c r="G64" s="1" t="s">
        <v>15</v>
      </c>
      <c r="H64" s="1">
        <v>5594</v>
      </c>
      <c r="I64" s="1">
        <v>615</v>
      </c>
      <c r="J64" s="2">
        <v>3440310</v>
      </c>
    </row>
    <row r="65" spans="1:10" ht="15.6" thickTop="1" thickBot="1" x14ac:dyDescent="0.35">
      <c r="A65" s="1" t="s">
        <v>149</v>
      </c>
      <c r="B65" s="1" t="s">
        <v>30</v>
      </c>
      <c r="C65" s="1" t="s">
        <v>146</v>
      </c>
      <c r="D65" s="1" t="s">
        <v>26</v>
      </c>
      <c r="E65" s="1" t="s">
        <v>83</v>
      </c>
      <c r="F65" s="1" t="s">
        <v>28</v>
      </c>
      <c r="G65" s="1" t="s">
        <v>15</v>
      </c>
      <c r="H65" s="1">
        <v>5491</v>
      </c>
      <c r="I65" s="1">
        <v>601</v>
      </c>
      <c r="J65" s="2">
        <v>3300091</v>
      </c>
    </row>
    <row r="66" spans="1:10" ht="15.6" thickTop="1" thickBot="1" x14ac:dyDescent="0.35">
      <c r="A66" s="1" t="s">
        <v>150</v>
      </c>
      <c r="B66" s="1" t="s">
        <v>30</v>
      </c>
      <c r="C66" s="1" t="s">
        <v>146</v>
      </c>
      <c r="D66" s="1" t="s">
        <v>13</v>
      </c>
      <c r="E66" s="1" t="s">
        <v>85</v>
      </c>
      <c r="F66" s="1" t="s">
        <v>44</v>
      </c>
      <c r="G66" s="1" t="s">
        <v>15</v>
      </c>
      <c r="H66" s="1">
        <v>7225</v>
      </c>
      <c r="I66" s="1">
        <v>711</v>
      </c>
      <c r="J66" s="2">
        <v>5136975</v>
      </c>
    </row>
    <row r="67" spans="1:10" ht="15.6" thickTop="1" thickBot="1" x14ac:dyDescent="0.35">
      <c r="A67" s="1" t="s">
        <v>151</v>
      </c>
      <c r="B67" s="1" t="s">
        <v>30</v>
      </c>
      <c r="C67" s="1" t="s">
        <v>146</v>
      </c>
      <c r="D67" s="1" t="s">
        <v>13</v>
      </c>
      <c r="E67" s="1" t="s">
        <v>87</v>
      </c>
      <c r="F67" s="1" t="s">
        <v>50</v>
      </c>
      <c r="G67" s="1" t="s">
        <v>15</v>
      </c>
      <c r="H67" s="1">
        <v>2966</v>
      </c>
      <c r="I67" s="1">
        <v>977</v>
      </c>
      <c r="J67" s="2">
        <v>2897782</v>
      </c>
    </row>
    <row r="68" spans="1:10" ht="15.6" thickTop="1" thickBot="1" x14ac:dyDescent="0.35">
      <c r="A68" s="1" t="s">
        <v>152</v>
      </c>
      <c r="B68" s="1" t="s">
        <v>30</v>
      </c>
      <c r="C68" s="1" t="s">
        <v>146</v>
      </c>
      <c r="D68" s="1" t="s">
        <v>22</v>
      </c>
      <c r="E68" s="1" t="s">
        <v>89</v>
      </c>
      <c r="F68" s="1" t="s">
        <v>90</v>
      </c>
      <c r="G68" s="1" t="s">
        <v>45</v>
      </c>
      <c r="H68" s="1">
        <v>2421</v>
      </c>
      <c r="I68" s="1">
        <v>765</v>
      </c>
      <c r="J68" s="2">
        <v>1852065</v>
      </c>
    </row>
    <row r="69" spans="1:10" ht="15.6" thickTop="1" thickBot="1" x14ac:dyDescent="0.35">
      <c r="A69" s="1" t="s">
        <v>153</v>
      </c>
      <c r="B69" s="1" t="s">
        <v>30</v>
      </c>
      <c r="C69" s="1" t="s">
        <v>146</v>
      </c>
      <c r="D69" s="1" t="s">
        <v>26</v>
      </c>
      <c r="E69" s="1" t="s">
        <v>92</v>
      </c>
      <c r="F69" s="1" t="s">
        <v>93</v>
      </c>
      <c r="G69" s="1" t="s">
        <v>45</v>
      </c>
      <c r="H69" s="1">
        <v>8893</v>
      </c>
      <c r="I69" s="1">
        <v>848</v>
      </c>
      <c r="J69" s="2">
        <v>7541264</v>
      </c>
    </row>
    <row r="70" spans="1:10" ht="15.6" thickTop="1" thickBot="1" x14ac:dyDescent="0.35">
      <c r="A70" s="1" t="s">
        <v>154</v>
      </c>
      <c r="B70" s="1" t="s">
        <v>30</v>
      </c>
      <c r="C70" s="1" t="s">
        <v>146</v>
      </c>
      <c r="D70" s="1" t="s">
        <v>18</v>
      </c>
      <c r="E70" s="1" t="s">
        <v>95</v>
      </c>
      <c r="F70" s="1" t="s">
        <v>20</v>
      </c>
      <c r="G70" s="1" t="s">
        <v>45</v>
      </c>
      <c r="H70" s="1">
        <v>4938</v>
      </c>
      <c r="I70" s="1">
        <v>726</v>
      </c>
      <c r="J70" s="2">
        <v>3584988</v>
      </c>
    </row>
    <row r="71" spans="1:10" ht="15.6" thickTop="1" thickBot="1" x14ac:dyDescent="0.35">
      <c r="A71" s="1" t="s">
        <v>155</v>
      </c>
      <c r="B71" s="1" t="s">
        <v>30</v>
      </c>
      <c r="C71" s="1" t="s">
        <v>146</v>
      </c>
      <c r="D71" s="1" t="s">
        <v>13</v>
      </c>
      <c r="E71" s="1" t="s">
        <v>97</v>
      </c>
      <c r="F71" s="1" t="s">
        <v>98</v>
      </c>
      <c r="G71" s="1" t="s">
        <v>45</v>
      </c>
      <c r="H71" s="1">
        <v>4836</v>
      </c>
      <c r="I71" s="1">
        <v>783</v>
      </c>
      <c r="J71" s="2">
        <v>3786588</v>
      </c>
    </row>
    <row r="72" spans="1:10" ht="15.6" thickTop="1" thickBot="1" x14ac:dyDescent="0.35">
      <c r="A72" s="1" t="s">
        <v>156</v>
      </c>
      <c r="B72" s="1" t="s">
        <v>30</v>
      </c>
      <c r="C72" s="1" t="s">
        <v>146</v>
      </c>
      <c r="D72" s="1" t="s">
        <v>13</v>
      </c>
      <c r="E72" s="1" t="s">
        <v>100</v>
      </c>
      <c r="F72" s="1" t="s">
        <v>101</v>
      </c>
      <c r="G72" s="1" t="s">
        <v>45</v>
      </c>
      <c r="H72" s="1">
        <v>3490</v>
      </c>
      <c r="I72" s="1">
        <v>889</v>
      </c>
      <c r="J72" s="2">
        <v>3102610</v>
      </c>
    </row>
    <row r="73" spans="1:10" ht="15.6" thickTop="1" thickBot="1" x14ac:dyDescent="0.35">
      <c r="A73" s="1" t="s">
        <v>157</v>
      </c>
      <c r="B73" s="1" t="s">
        <v>158</v>
      </c>
      <c r="C73" s="1" t="s">
        <v>159</v>
      </c>
      <c r="D73" s="1" t="s">
        <v>103</v>
      </c>
      <c r="E73" s="1" t="s">
        <v>104</v>
      </c>
      <c r="F73" s="1" t="s">
        <v>105</v>
      </c>
      <c r="G73" s="1" t="s">
        <v>45</v>
      </c>
      <c r="H73" s="1">
        <v>1921</v>
      </c>
      <c r="I73" s="1">
        <v>568</v>
      </c>
      <c r="J73" s="2">
        <v>1091128</v>
      </c>
    </row>
    <row r="74" spans="1:10" ht="15.6" thickTop="1" thickBot="1" x14ac:dyDescent="0.35">
      <c r="A74" s="1" t="s">
        <v>160</v>
      </c>
      <c r="B74" s="1" t="s">
        <v>158</v>
      </c>
      <c r="C74" s="1" t="s">
        <v>159</v>
      </c>
      <c r="D74" s="1" t="s">
        <v>13</v>
      </c>
      <c r="E74" s="1" t="s">
        <v>107</v>
      </c>
      <c r="F74" s="1" t="s">
        <v>108</v>
      </c>
      <c r="G74" s="1" t="s">
        <v>45</v>
      </c>
      <c r="H74" s="1">
        <v>5036</v>
      </c>
      <c r="I74" s="1">
        <v>745</v>
      </c>
      <c r="J74" s="2">
        <v>3751820</v>
      </c>
    </row>
    <row r="75" spans="1:10" ht="15.6" thickTop="1" thickBot="1" x14ac:dyDescent="0.35">
      <c r="A75" s="1" t="s">
        <v>161</v>
      </c>
      <c r="B75" s="1" t="s">
        <v>158</v>
      </c>
      <c r="C75" s="1" t="s">
        <v>159</v>
      </c>
      <c r="D75" s="1" t="s">
        <v>56</v>
      </c>
      <c r="E75" s="1" t="s">
        <v>110</v>
      </c>
      <c r="F75" s="1" t="s">
        <v>111</v>
      </c>
      <c r="G75" s="1" t="s">
        <v>45</v>
      </c>
      <c r="H75" s="1">
        <v>6124</v>
      </c>
      <c r="I75" s="1">
        <v>634</v>
      </c>
      <c r="J75" s="2">
        <v>3882616</v>
      </c>
    </row>
    <row r="76" spans="1:10" ht="15.6" thickTop="1" thickBot="1" x14ac:dyDescent="0.35">
      <c r="A76" s="1" t="s">
        <v>162</v>
      </c>
      <c r="B76" s="1" t="s">
        <v>158</v>
      </c>
      <c r="C76" s="1" t="s">
        <v>159</v>
      </c>
      <c r="D76" s="1" t="s">
        <v>22</v>
      </c>
      <c r="E76" s="1" t="s">
        <v>113</v>
      </c>
      <c r="F76" s="1" t="s">
        <v>24</v>
      </c>
      <c r="G76" s="1" t="s">
        <v>45</v>
      </c>
      <c r="H76" s="1">
        <v>6233</v>
      </c>
      <c r="I76" s="1">
        <v>675</v>
      </c>
      <c r="J76" s="2">
        <v>4207275</v>
      </c>
    </row>
    <row r="77" spans="1:10" ht="15.6" thickTop="1" thickBot="1" x14ac:dyDescent="0.35">
      <c r="A77" s="1" t="s">
        <v>163</v>
      </c>
      <c r="B77" s="1" t="s">
        <v>158</v>
      </c>
      <c r="C77" s="1" t="s">
        <v>159</v>
      </c>
      <c r="D77" s="1" t="s">
        <v>22</v>
      </c>
      <c r="E77" s="1" t="s">
        <v>23</v>
      </c>
      <c r="F77" s="1" t="s">
        <v>24</v>
      </c>
      <c r="G77" s="1" t="s">
        <v>45</v>
      </c>
      <c r="H77" s="1">
        <v>9156</v>
      </c>
      <c r="I77" s="1">
        <v>778</v>
      </c>
      <c r="J77" s="2">
        <v>7123368</v>
      </c>
    </row>
    <row r="78" spans="1:10" ht="15.6" thickTop="1" thickBot="1" x14ac:dyDescent="0.35">
      <c r="A78" s="1" t="s">
        <v>164</v>
      </c>
      <c r="B78" s="1" t="s">
        <v>158</v>
      </c>
      <c r="C78" s="1" t="s">
        <v>159</v>
      </c>
      <c r="D78" s="1" t="s">
        <v>56</v>
      </c>
      <c r="E78" s="1" t="s">
        <v>117</v>
      </c>
      <c r="F78" s="1" t="s">
        <v>58</v>
      </c>
      <c r="G78" s="1" t="s">
        <v>15</v>
      </c>
      <c r="H78" s="1">
        <v>3687</v>
      </c>
      <c r="I78" s="1">
        <v>867</v>
      </c>
      <c r="J78" s="2">
        <v>3196629</v>
      </c>
    </row>
    <row r="79" spans="1:10" ht="15.6" thickTop="1" thickBot="1" x14ac:dyDescent="0.35">
      <c r="A79" s="1" t="s">
        <v>165</v>
      </c>
      <c r="B79" s="1" t="s">
        <v>158</v>
      </c>
      <c r="C79" s="1" t="s">
        <v>159</v>
      </c>
      <c r="D79" s="1" t="s">
        <v>22</v>
      </c>
      <c r="E79" s="1" t="s">
        <v>119</v>
      </c>
      <c r="F79" s="1" t="s">
        <v>90</v>
      </c>
      <c r="G79" s="1" t="s">
        <v>15</v>
      </c>
      <c r="H79" s="1">
        <v>3165</v>
      </c>
      <c r="I79" s="1">
        <v>903</v>
      </c>
      <c r="J79" s="2">
        <v>2857995</v>
      </c>
    </row>
    <row r="80" spans="1:10" ht="15.6" thickTop="1" thickBot="1" x14ac:dyDescent="0.35">
      <c r="A80" s="1" t="s">
        <v>166</v>
      </c>
      <c r="B80" s="1" t="s">
        <v>30</v>
      </c>
      <c r="C80" s="1" t="s">
        <v>133</v>
      </c>
      <c r="D80" s="1" t="s">
        <v>22</v>
      </c>
      <c r="E80" s="1" t="s">
        <v>121</v>
      </c>
      <c r="F80" s="1" t="s">
        <v>24</v>
      </c>
      <c r="G80" s="1" t="s">
        <v>15</v>
      </c>
      <c r="H80" s="1">
        <v>1580</v>
      </c>
      <c r="I80" s="1">
        <v>718</v>
      </c>
      <c r="J80" s="2">
        <v>1134440</v>
      </c>
    </row>
    <row r="81" spans="1:10" ht="15.6" thickTop="1" thickBot="1" x14ac:dyDescent="0.35">
      <c r="A81" s="1" t="s">
        <v>167</v>
      </c>
      <c r="B81" s="1" t="s">
        <v>30</v>
      </c>
      <c r="C81" s="1" t="s">
        <v>133</v>
      </c>
      <c r="D81" s="1" t="s">
        <v>26</v>
      </c>
      <c r="E81" s="1" t="s">
        <v>123</v>
      </c>
      <c r="F81" s="1" t="s">
        <v>33</v>
      </c>
      <c r="G81" s="1" t="s">
        <v>15</v>
      </c>
      <c r="H81" s="1">
        <v>5627</v>
      </c>
      <c r="I81" s="1">
        <v>539</v>
      </c>
      <c r="J81" s="2">
        <v>3032953</v>
      </c>
    </row>
    <row r="82" spans="1:10" ht="15.6" thickTop="1" thickBot="1" x14ac:dyDescent="0.35">
      <c r="A82" s="1" t="s">
        <v>168</v>
      </c>
      <c r="B82" s="1" t="s">
        <v>30</v>
      </c>
      <c r="C82" s="1" t="s">
        <v>133</v>
      </c>
      <c r="D82" s="1" t="s">
        <v>13</v>
      </c>
      <c r="E82" s="1" t="s">
        <v>14</v>
      </c>
      <c r="F82" s="1" t="s">
        <v>14</v>
      </c>
      <c r="G82" s="1" t="s">
        <v>15</v>
      </c>
      <c r="H82" s="1">
        <v>3396</v>
      </c>
      <c r="I82" s="1">
        <v>865</v>
      </c>
      <c r="J82" s="2">
        <v>2937540</v>
      </c>
    </row>
    <row r="83" spans="1:10" ht="15.6" thickTop="1" thickBot="1" x14ac:dyDescent="0.35">
      <c r="A83" s="1" t="s">
        <v>169</v>
      </c>
      <c r="B83" s="1" t="s">
        <v>30</v>
      </c>
      <c r="C83" s="1" t="s">
        <v>133</v>
      </c>
      <c r="D83" s="1" t="s">
        <v>18</v>
      </c>
      <c r="E83" s="1" t="s">
        <v>19</v>
      </c>
      <c r="F83" s="1" t="s">
        <v>20</v>
      </c>
      <c r="G83" s="1" t="s">
        <v>45</v>
      </c>
      <c r="H83" s="1">
        <v>7609</v>
      </c>
      <c r="I83" s="1">
        <v>636</v>
      </c>
      <c r="J83" s="2">
        <v>4839324</v>
      </c>
    </row>
    <row r="84" spans="1:10" ht="15.6" thickTop="1" thickBot="1" x14ac:dyDescent="0.35">
      <c r="A84" s="1" t="s">
        <v>170</v>
      </c>
      <c r="B84" s="1" t="s">
        <v>30</v>
      </c>
      <c r="C84" s="1" t="s">
        <v>133</v>
      </c>
      <c r="D84" s="1" t="s">
        <v>22</v>
      </c>
      <c r="E84" s="1" t="s">
        <v>23</v>
      </c>
      <c r="F84" s="1" t="s">
        <v>24</v>
      </c>
      <c r="G84" s="1" t="s">
        <v>45</v>
      </c>
      <c r="H84" s="1">
        <v>2460</v>
      </c>
      <c r="I84" s="1">
        <v>571</v>
      </c>
      <c r="J84" s="2">
        <v>1404660</v>
      </c>
    </row>
    <row r="85" spans="1:10" ht="15.6" thickTop="1" thickBot="1" x14ac:dyDescent="0.35">
      <c r="A85" s="1" t="s">
        <v>171</v>
      </c>
      <c r="B85" s="1" t="s">
        <v>30</v>
      </c>
      <c r="C85" s="1" t="s">
        <v>146</v>
      </c>
      <c r="D85" s="1" t="s">
        <v>26</v>
      </c>
      <c r="E85" s="1" t="s">
        <v>27</v>
      </c>
      <c r="F85" s="1" t="s">
        <v>28</v>
      </c>
      <c r="G85" s="1" t="s">
        <v>45</v>
      </c>
      <c r="H85" s="1">
        <v>8048</v>
      </c>
      <c r="I85" s="1">
        <v>648</v>
      </c>
      <c r="J85" s="2">
        <v>5215104</v>
      </c>
    </row>
    <row r="86" spans="1:10" ht="15.6" thickTop="1" thickBot="1" x14ac:dyDescent="0.35">
      <c r="A86" s="1" t="s">
        <v>172</v>
      </c>
      <c r="B86" s="1" t="s">
        <v>30</v>
      </c>
      <c r="C86" s="1" t="s">
        <v>146</v>
      </c>
      <c r="D86" s="1" t="s">
        <v>26</v>
      </c>
      <c r="E86" s="1" t="s">
        <v>32</v>
      </c>
      <c r="F86" s="1" t="s">
        <v>33</v>
      </c>
      <c r="G86" s="1" t="s">
        <v>15</v>
      </c>
      <c r="H86" s="1">
        <v>6821</v>
      </c>
      <c r="I86" s="1">
        <v>871</v>
      </c>
      <c r="J86" s="2">
        <v>5941091</v>
      </c>
    </row>
    <row r="87" spans="1:10" ht="15.6" thickTop="1" thickBot="1" x14ac:dyDescent="0.35">
      <c r="A87" s="1" t="s">
        <v>173</v>
      </c>
      <c r="B87" s="1" t="s">
        <v>30</v>
      </c>
      <c r="C87" s="1" t="s">
        <v>146</v>
      </c>
      <c r="D87" s="1" t="s">
        <v>26</v>
      </c>
      <c r="E87" s="1" t="s">
        <v>35</v>
      </c>
      <c r="F87" s="1" t="s">
        <v>36</v>
      </c>
      <c r="G87" s="1" t="s">
        <v>15</v>
      </c>
      <c r="H87" s="1">
        <v>1898</v>
      </c>
      <c r="I87" s="1">
        <v>726</v>
      </c>
      <c r="J87" s="2">
        <v>1377948</v>
      </c>
    </row>
    <row r="88" spans="1:10" ht="15.6" thickTop="1" thickBot="1" x14ac:dyDescent="0.35">
      <c r="A88" s="1" t="s">
        <v>174</v>
      </c>
      <c r="B88" s="1" t="s">
        <v>30</v>
      </c>
      <c r="C88" s="1" t="s">
        <v>146</v>
      </c>
      <c r="D88" s="1" t="s">
        <v>18</v>
      </c>
      <c r="E88" s="1" t="s">
        <v>38</v>
      </c>
      <c r="F88" s="1" t="s">
        <v>39</v>
      </c>
      <c r="G88" s="1" t="s">
        <v>15</v>
      </c>
      <c r="H88" s="1">
        <v>8320</v>
      </c>
      <c r="I88" s="1">
        <v>701</v>
      </c>
      <c r="J88" s="2">
        <v>5832320</v>
      </c>
    </row>
    <row r="89" spans="1:10" ht="15.6" thickTop="1" thickBot="1" x14ac:dyDescent="0.35">
      <c r="A89" s="1" t="s">
        <v>175</v>
      </c>
      <c r="B89" s="1" t="s">
        <v>30</v>
      </c>
      <c r="C89" s="1" t="s">
        <v>146</v>
      </c>
      <c r="D89" s="1" t="s">
        <v>18</v>
      </c>
      <c r="E89" s="1" t="s">
        <v>41</v>
      </c>
      <c r="F89" s="1" t="s">
        <v>20</v>
      </c>
      <c r="G89" s="1" t="s">
        <v>15</v>
      </c>
      <c r="H89" s="1">
        <v>7085</v>
      </c>
      <c r="I89" s="1">
        <v>980</v>
      </c>
      <c r="J89" s="2">
        <v>6943300</v>
      </c>
    </row>
    <row r="90" spans="1:10" ht="15.6" thickTop="1" thickBot="1" x14ac:dyDescent="0.35">
      <c r="A90" s="1" t="s">
        <v>176</v>
      </c>
      <c r="B90" s="1" t="s">
        <v>30</v>
      </c>
      <c r="C90" s="1" t="s">
        <v>146</v>
      </c>
      <c r="D90" s="1" t="s">
        <v>13</v>
      </c>
      <c r="E90" s="1" t="s">
        <v>43</v>
      </c>
      <c r="F90" s="1" t="s">
        <v>44</v>
      </c>
      <c r="G90" s="1" t="s">
        <v>15</v>
      </c>
      <c r="H90" s="1">
        <v>7382</v>
      </c>
      <c r="I90" s="1">
        <v>866</v>
      </c>
      <c r="J90" s="2">
        <v>6392812</v>
      </c>
    </row>
    <row r="91" spans="1:10" ht="15.6" thickTop="1" thickBot="1" x14ac:dyDescent="0.35">
      <c r="A91" s="1" t="s">
        <v>177</v>
      </c>
      <c r="B91" s="1" t="s">
        <v>158</v>
      </c>
      <c r="C91" s="1" t="s">
        <v>178</v>
      </c>
      <c r="D91" s="1" t="s">
        <v>18</v>
      </c>
      <c r="E91" s="1" t="s">
        <v>47</v>
      </c>
      <c r="F91" s="1" t="s">
        <v>39</v>
      </c>
      <c r="G91" s="1" t="s">
        <v>45</v>
      </c>
      <c r="H91" s="1">
        <v>4636</v>
      </c>
      <c r="I91" s="1">
        <v>976</v>
      </c>
      <c r="J91" s="2">
        <v>4524736</v>
      </c>
    </row>
    <row r="92" spans="1:10" ht="15.6" thickTop="1" thickBot="1" x14ac:dyDescent="0.35">
      <c r="A92" s="1" t="s">
        <v>179</v>
      </c>
      <c r="B92" s="1" t="s">
        <v>158</v>
      </c>
      <c r="C92" s="1" t="s">
        <v>178</v>
      </c>
      <c r="D92" s="1" t="s">
        <v>13</v>
      </c>
      <c r="E92" s="1" t="s">
        <v>49</v>
      </c>
      <c r="F92" s="1" t="s">
        <v>50</v>
      </c>
      <c r="G92" s="1" t="s">
        <v>45</v>
      </c>
      <c r="H92" s="1">
        <v>2540</v>
      </c>
      <c r="I92" s="1">
        <v>735</v>
      </c>
      <c r="J92" s="2">
        <v>1866900</v>
      </c>
    </row>
    <row r="93" spans="1:10" ht="15.6" thickTop="1" thickBot="1" x14ac:dyDescent="0.35">
      <c r="A93" s="1" t="s">
        <v>180</v>
      </c>
      <c r="B93" s="1" t="s">
        <v>158</v>
      </c>
      <c r="C93" s="1" t="s">
        <v>178</v>
      </c>
      <c r="D93" s="1" t="s">
        <v>13</v>
      </c>
      <c r="E93" s="1" t="s">
        <v>52</v>
      </c>
      <c r="F93" s="1" t="s">
        <v>50</v>
      </c>
      <c r="G93" s="1" t="s">
        <v>45</v>
      </c>
      <c r="H93" s="1">
        <v>6995</v>
      </c>
      <c r="I93" s="1">
        <v>959</v>
      </c>
      <c r="J93" s="2">
        <v>6708205</v>
      </c>
    </row>
    <row r="94" spans="1:10" ht="15.6" thickTop="1" thickBot="1" x14ac:dyDescent="0.35">
      <c r="A94" s="1" t="s">
        <v>181</v>
      </c>
      <c r="B94" s="1" t="s">
        <v>158</v>
      </c>
      <c r="C94" s="1" t="s">
        <v>178</v>
      </c>
      <c r="D94" s="1" t="s">
        <v>18</v>
      </c>
      <c r="E94" s="1" t="s">
        <v>54</v>
      </c>
      <c r="F94" s="1" t="s">
        <v>20</v>
      </c>
      <c r="G94" s="1" t="s">
        <v>45</v>
      </c>
      <c r="H94" s="1">
        <v>8442</v>
      </c>
      <c r="I94" s="1">
        <v>618</v>
      </c>
      <c r="J94" s="2">
        <v>5217156</v>
      </c>
    </row>
    <row r="95" spans="1:10" ht="15.6" thickTop="1" thickBot="1" x14ac:dyDescent="0.35">
      <c r="A95" s="1" t="s">
        <v>182</v>
      </c>
      <c r="B95" s="1" t="s">
        <v>158</v>
      </c>
      <c r="C95" s="1" t="s">
        <v>178</v>
      </c>
      <c r="D95" s="1" t="s">
        <v>56</v>
      </c>
      <c r="E95" s="1" t="s">
        <v>57</v>
      </c>
      <c r="F95" s="1" t="s">
        <v>58</v>
      </c>
      <c r="G95" s="1" t="s">
        <v>45</v>
      </c>
      <c r="H95" s="1">
        <v>8766</v>
      </c>
      <c r="I95" s="1">
        <v>813</v>
      </c>
      <c r="J95" s="2">
        <v>7126758</v>
      </c>
    </row>
    <row r="96" spans="1:10" ht="15.6" thickTop="1" thickBot="1" x14ac:dyDescent="0.35">
      <c r="A96" s="1" t="s">
        <v>183</v>
      </c>
      <c r="B96" s="1" t="s">
        <v>158</v>
      </c>
      <c r="C96" s="1" t="s">
        <v>178</v>
      </c>
      <c r="D96" s="1" t="s">
        <v>18</v>
      </c>
      <c r="E96" s="1" t="s">
        <v>61</v>
      </c>
      <c r="F96" s="1" t="s">
        <v>20</v>
      </c>
      <c r="G96" s="1" t="s">
        <v>45</v>
      </c>
      <c r="H96" s="1">
        <v>2645</v>
      </c>
      <c r="I96" s="1">
        <v>513</v>
      </c>
      <c r="J96" s="2">
        <v>1356885</v>
      </c>
    </row>
    <row r="97" spans="1:10" ht="15.6" thickTop="1" thickBot="1" x14ac:dyDescent="0.35">
      <c r="A97" s="1" t="s">
        <v>184</v>
      </c>
      <c r="B97" s="1" t="s">
        <v>158</v>
      </c>
      <c r="C97" s="1" t="s">
        <v>178</v>
      </c>
      <c r="D97" s="1" t="s">
        <v>63</v>
      </c>
      <c r="E97" s="1" t="s">
        <v>64</v>
      </c>
      <c r="F97" s="1" t="s">
        <v>64</v>
      </c>
      <c r="G97" s="1" t="s">
        <v>45</v>
      </c>
      <c r="H97" s="1">
        <v>4794</v>
      </c>
      <c r="I97" s="1">
        <v>703</v>
      </c>
      <c r="J97" s="2">
        <v>3370182</v>
      </c>
    </row>
    <row r="98" spans="1:10" ht="15.6" thickTop="1" thickBot="1" x14ac:dyDescent="0.35">
      <c r="A98" s="1" t="s">
        <v>185</v>
      </c>
      <c r="B98" s="1" t="s">
        <v>158</v>
      </c>
      <c r="C98" s="1" t="s">
        <v>178</v>
      </c>
      <c r="D98" s="1" t="s">
        <v>56</v>
      </c>
      <c r="E98" s="1" t="s">
        <v>66</v>
      </c>
      <c r="F98" s="1" t="s">
        <v>58</v>
      </c>
      <c r="G98" s="1" t="s">
        <v>15</v>
      </c>
      <c r="H98" s="1">
        <v>4067</v>
      </c>
      <c r="I98" s="1">
        <v>710</v>
      </c>
      <c r="J98" s="2">
        <v>2887570</v>
      </c>
    </row>
    <row r="99" spans="1:10" ht="15.6" thickTop="1" thickBot="1" x14ac:dyDescent="0.35">
      <c r="A99" s="1" t="s">
        <v>186</v>
      </c>
      <c r="B99" s="1" t="s">
        <v>158</v>
      </c>
      <c r="C99" s="1" t="s">
        <v>178</v>
      </c>
      <c r="D99" s="1" t="s">
        <v>26</v>
      </c>
      <c r="E99" s="1" t="s">
        <v>68</v>
      </c>
      <c r="F99" s="1" t="s">
        <v>69</v>
      </c>
      <c r="G99" s="1" t="s">
        <v>15</v>
      </c>
      <c r="H99" s="1">
        <v>9519</v>
      </c>
      <c r="I99" s="1">
        <v>949</v>
      </c>
      <c r="J99" s="2">
        <v>9033531</v>
      </c>
    </row>
    <row r="100" spans="1:10" ht="15.6" thickTop="1" thickBot="1" x14ac:dyDescent="0.35">
      <c r="A100" s="1" t="s">
        <v>187</v>
      </c>
      <c r="B100" s="1" t="s">
        <v>158</v>
      </c>
      <c r="C100" s="1" t="s">
        <v>178</v>
      </c>
      <c r="D100" s="1" t="s">
        <v>22</v>
      </c>
      <c r="E100" s="1" t="s">
        <v>71</v>
      </c>
      <c r="F100" s="1" t="s">
        <v>72</v>
      </c>
      <c r="G100" s="1" t="s">
        <v>15</v>
      </c>
      <c r="H100" s="1">
        <v>7217</v>
      </c>
      <c r="I100" s="1">
        <v>935</v>
      </c>
      <c r="J100" s="2">
        <v>6747895</v>
      </c>
    </row>
    <row r="101" spans="1:10" ht="15.6" thickTop="1" thickBot="1" x14ac:dyDescent="0.35">
      <c r="A101" s="1" t="s">
        <v>188</v>
      </c>
      <c r="B101" s="1" t="s">
        <v>158</v>
      </c>
      <c r="C101" s="1" t="s">
        <v>178</v>
      </c>
      <c r="D101" s="1" t="s">
        <v>18</v>
      </c>
      <c r="E101" s="1" t="s">
        <v>74</v>
      </c>
      <c r="F101" s="1" t="s">
        <v>39</v>
      </c>
      <c r="G101" s="1" t="s">
        <v>15</v>
      </c>
      <c r="H101" s="1">
        <v>1885</v>
      </c>
      <c r="I101" s="1">
        <v>811</v>
      </c>
      <c r="J101" s="2">
        <v>1528735</v>
      </c>
    </row>
    <row r="102" spans="1:10" ht="15.6" thickTop="1" thickBot="1" x14ac:dyDescent="0.35">
      <c r="A102" s="1" t="s">
        <v>189</v>
      </c>
      <c r="B102" s="1" t="s">
        <v>158</v>
      </c>
      <c r="C102" s="1" t="s">
        <v>178</v>
      </c>
      <c r="D102" s="1" t="s">
        <v>13</v>
      </c>
      <c r="E102" s="1" t="s">
        <v>76</v>
      </c>
      <c r="F102" s="1" t="s">
        <v>50</v>
      </c>
      <c r="G102" s="1" t="s">
        <v>45</v>
      </c>
      <c r="H102" s="1">
        <v>8921</v>
      </c>
      <c r="I102" s="1">
        <v>593</v>
      </c>
      <c r="J102" s="2">
        <v>5290153</v>
      </c>
    </row>
    <row r="103" spans="1:10" ht="15.6" thickTop="1" thickBot="1" x14ac:dyDescent="0.35">
      <c r="A103" s="1" t="s">
        <v>190</v>
      </c>
      <c r="B103" s="1" t="s">
        <v>11</v>
      </c>
      <c r="C103" s="1" t="s">
        <v>116</v>
      </c>
      <c r="D103" s="1" t="s">
        <v>13</v>
      </c>
      <c r="E103" s="1" t="s">
        <v>79</v>
      </c>
      <c r="F103" s="1" t="s">
        <v>50</v>
      </c>
      <c r="G103" s="1" t="s">
        <v>15</v>
      </c>
      <c r="H103" s="1">
        <v>6596</v>
      </c>
      <c r="I103" s="1">
        <v>501</v>
      </c>
      <c r="J103" s="2">
        <v>3304596</v>
      </c>
    </row>
    <row r="104" spans="1:10" ht="15.6" thickTop="1" thickBot="1" x14ac:dyDescent="0.35">
      <c r="A104" s="1" t="s">
        <v>191</v>
      </c>
      <c r="B104" s="1" t="s">
        <v>11</v>
      </c>
      <c r="C104" s="1" t="s">
        <v>116</v>
      </c>
      <c r="D104" s="1" t="s">
        <v>26</v>
      </c>
      <c r="E104" s="1" t="s">
        <v>81</v>
      </c>
      <c r="F104" s="1" t="s">
        <v>28</v>
      </c>
      <c r="G104" s="1" t="s">
        <v>15</v>
      </c>
      <c r="H104" s="1">
        <v>3074</v>
      </c>
      <c r="I104" s="1">
        <v>869</v>
      </c>
      <c r="J104" s="2">
        <v>2671306</v>
      </c>
    </row>
    <row r="105" spans="1:10" ht="15.6" thickTop="1" thickBot="1" x14ac:dyDescent="0.35">
      <c r="A105" s="1" t="s">
        <v>192</v>
      </c>
      <c r="B105" s="1" t="s">
        <v>11</v>
      </c>
      <c r="C105" s="1" t="s">
        <v>116</v>
      </c>
      <c r="D105" s="1" t="s">
        <v>26</v>
      </c>
      <c r="E105" s="1" t="s">
        <v>83</v>
      </c>
      <c r="F105" s="1" t="s">
        <v>28</v>
      </c>
      <c r="G105" s="1" t="s">
        <v>15</v>
      </c>
      <c r="H105" s="1">
        <v>6116</v>
      </c>
      <c r="I105" s="1">
        <v>699</v>
      </c>
      <c r="J105" s="2">
        <v>4275084</v>
      </c>
    </row>
    <row r="106" spans="1:10" ht="15.6" thickTop="1" thickBot="1" x14ac:dyDescent="0.35">
      <c r="A106" s="1" t="s">
        <v>193</v>
      </c>
      <c r="B106" s="1" t="s">
        <v>11</v>
      </c>
      <c r="C106" s="1" t="s">
        <v>116</v>
      </c>
      <c r="D106" s="1" t="s">
        <v>13</v>
      </c>
      <c r="E106" s="1" t="s">
        <v>85</v>
      </c>
      <c r="F106" s="1" t="s">
        <v>44</v>
      </c>
      <c r="G106" s="1" t="s">
        <v>15</v>
      </c>
      <c r="H106" s="1">
        <v>5729</v>
      </c>
      <c r="I106" s="1">
        <v>753</v>
      </c>
      <c r="J106" s="2">
        <v>4313937</v>
      </c>
    </row>
    <row r="107" spans="1:10" ht="15.6" thickTop="1" thickBot="1" x14ac:dyDescent="0.35">
      <c r="A107" s="1" t="s">
        <v>194</v>
      </c>
      <c r="B107" s="1" t="s">
        <v>11</v>
      </c>
      <c r="C107" s="1" t="s">
        <v>116</v>
      </c>
      <c r="D107" s="1" t="s">
        <v>13</v>
      </c>
      <c r="E107" s="1" t="s">
        <v>87</v>
      </c>
      <c r="F107" s="1" t="s">
        <v>50</v>
      </c>
      <c r="G107" s="1" t="s">
        <v>45</v>
      </c>
      <c r="H107" s="1">
        <v>7181</v>
      </c>
      <c r="I107" s="1">
        <v>668</v>
      </c>
      <c r="J107" s="2">
        <v>4796908</v>
      </c>
    </row>
    <row r="108" spans="1:10" ht="15.6" thickTop="1" thickBot="1" x14ac:dyDescent="0.35">
      <c r="A108" s="1" t="s">
        <v>195</v>
      </c>
      <c r="B108" s="1" t="s">
        <v>11</v>
      </c>
      <c r="C108" s="1" t="s">
        <v>116</v>
      </c>
      <c r="D108" s="1" t="s">
        <v>22</v>
      </c>
      <c r="E108" s="1" t="s">
        <v>89</v>
      </c>
      <c r="F108" s="1" t="s">
        <v>90</v>
      </c>
      <c r="G108" s="1" t="s">
        <v>45</v>
      </c>
      <c r="H108" s="1">
        <v>9034</v>
      </c>
      <c r="I108" s="1">
        <v>730</v>
      </c>
      <c r="J108" s="2">
        <v>6594820</v>
      </c>
    </row>
    <row r="109" spans="1:10" ht="15.6" thickTop="1" thickBot="1" x14ac:dyDescent="0.35">
      <c r="A109" s="1" t="s">
        <v>196</v>
      </c>
      <c r="B109" s="1" t="s">
        <v>11</v>
      </c>
      <c r="C109" s="1" t="s">
        <v>116</v>
      </c>
      <c r="D109" s="1" t="s">
        <v>26</v>
      </c>
      <c r="E109" s="1" t="s">
        <v>92</v>
      </c>
      <c r="F109" s="1" t="s">
        <v>93</v>
      </c>
      <c r="G109" s="1" t="s">
        <v>45</v>
      </c>
      <c r="H109" s="1">
        <v>6005</v>
      </c>
      <c r="I109" s="1">
        <v>739</v>
      </c>
      <c r="J109" s="2">
        <v>4437695</v>
      </c>
    </row>
    <row r="110" spans="1:10" ht="15.6" thickTop="1" thickBot="1" x14ac:dyDescent="0.35">
      <c r="A110" s="1" t="s">
        <v>197</v>
      </c>
      <c r="B110" s="1" t="s">
        <v>11</v>
      </c>
      <c r="C110" s="1" t="s">
        <v>116</v>
      </c>
      <c r="D110" s="1" t="s">
        <v>18</v>
      </c>
      <c r="E110" s="1" t="s">
        <v>95</v>
      </c>
      <c r="F110" s="1" t="s">
        <v>20</v>
      </c>
      <c r="G110" s="1" t="s">
        <v>45</v>
      </c>
      <c r="H110" s="1">
        <v>5261</v>
      </c>
      <c r="I110" s="1">
        <v>626</v>
      </c>
      <c r="J110" s="2">
        <v>3293386</v>
      </c>
    </row>
    <row r="111" spans="1:10" ht="15.6" thickTop="1" thickBot="1" x14ac:dyDescent="0.35">
      <c r="A111" s="1" t="s">
        <v>198</v>
      </c>
      <c r="B111" s="1" t="s">
        <v>11</v>
      </c>
      <c r="C111" s="1" t="s">
        <v>116</v>
      </c>
      <c r="D111" s="1" t="s">
        <v>13</v>
      </c>
      <c r="E111" s="1" t="s">
        <v>97</v>
      </c>
      <c r="F111" s="1" t="s">
        <v>98</v>
      </c>
      <c r="G111" s="1" t="s">
        <v>45</v>
      </c>
      <c r="H111" s="1">
        <v>5989</v>
      </c>
      <c r="I111" s="1">
        <v>889</v>
      </c>
      <c r="J111" s="2">
        <v>5324221</v>
      </c>
    </row>
    <row r="112" spans="1:10" ht="15.6" thickTop="1" thickBot="1" x14ac:dyDescent="0.35">
      <c r="A112" s="1" t="s">
        <v>199</v>
      </c>
      <c r="B112" s="1" t="s">
        <v>11</v>
      </c>
      <c r="C112" s="1" t="s">
        <v>116</v>
      </c>
      <c r="D112" s="1" t="s">
        <v>13</v>
      </c>
      <c r="E112" s="1" t="s">
        <v>100</v>
      </c>
      <c r="F112" s="1" t="s">
        <v>101</v>
      </c>
      <c r="G112" s="1" t="s">
        <v>45</v>
      </c>
      <c r="H112" s="1">
        <v>6350</v>
      </c>
      <c r="I112" s="1">
        <v>615</v>
      </c>
      <c r="J112" s="2">
        <v>3905250</v>
      </c>
    </row>
    <row r="113" spans="1:10" ht="15.6" thickTop="1" thickBot="1" x14ac:dyDescent="0.35">
      <c r="A113" s="1" t="s">
        <v>200</v>
      </c>
      <c r="B113" s="1" t="s">
        <v>11</v>
      </c>
      <c r="C113" s="1" t="s">
        <v>116</v>
      </c>
      <c r="D113" s="1" t="s">
        <v>103</v>
      </c>
      <c r="E113" s="1" t="s">
        <v>104</v>
      </c>
      <c r="F113" s="1" t="s">
        <v>105</v>
      </c>
      <c r="G113" s="1" t="s">
        <v>45</v>
      </c>
      <c r="H113" s="1">
        <v>9014</v>
      </c>
      <c r="I113" s="1">
        <v>687</v>
      </c>
      <c r="J113" s="2">
        <v>6192618</v>
      </c>
    </row>
    <row r="114" spans="1:10" ht="15.6" thickTop="1" thickBot="1" x14ac:dyDescent="0.35">
      <c r="A114" s="1" t="s">
        <v>201</v>
      </c>
      <c r="B114" s="1" t="s">
        <v>30</v>
      </c>
      <c r="C114" s="1" t="s">
        <v>133</v>
      </c>
      <c r="D114" s="1" t="s">
        <v>13</v>
      </c>
      <c r="E114" s="1" t="s">
        <v>107</v>
      </c>
      <c r="F114" s="1" t="s">
        <v>108</v>
      </c>
      <c r="G114" s="1" t="s">
        <v>45</v>
      </c>
      <c r="H114" s="1">
        <v>9418</v>
      </c>
      <c r="I114" s="1">
        <v>558</v>
      </c>
      <c r="J114" s="2">
        <v>5255244</v>
      </c>
    </row>
    <row r="115" spans="1:10" ht="15.6" thickTop="1" thickBot="1" x14ac:dyDescent="0.35">
      <c r="A115" s="1" t="s">
        <v>202</v>
      </c>
      <c r="B115" s="1" t="s">
        <v>30</v>
      </c>
      <c r="C115" s="1" t="s">
        <v>133</v>
      </c>
      <c r="D115" s="1" t="s">
        <v>56</v>
      </c>
      <c r="E115" s="1" t="s">
        <v>110</v>
      </c>
      <c r="F115" s="1" t="s">
        <v>111</v>
      </c>
      <c r="G115" s="1" t="s">
        <v>45</v>
      </c>
      <c r="H115" s="1">
        <v>8665</v>
      </c>
      <c r="I115" s="1">
        <v>743</v>
      </c>
      <c r="J115" s="2">
        <v>6438095</v>
      </c>
    </row>
    <row r="116" spans="1:10" ht="15.6" thickTop="1" thickBot="1" x14ac:dyDescent="0.35">
      <c r="A116" s="1" t="s">
        <v>203</v>
      </c>
      <c r="B116" s="1" t="s">
        <v>30</v>
      </c>
      <c r="C116" s="1" t="s">
        <v>133</v>
      </c>
      <c r="D116" s="1" t="s">
        <v>22</v>
      </c>
      <c r="E116" s="1" t="s">
        <v>113</v>
      </c>
      <c r="F116" s="1" t="s">
        <v>24</v>
      </c>
      <c r="G116" s="1" t="s">
        <v>45</v>
      </c>
      <c r="H116" s="1">
        <v>5344</v>
      </c>
      <c r="I116" s="1">
        <v>500</v>
      </c>
      <c r="J116" s="2">
        <v>2672000</v>
      </c>
    </row>
    <row r="117" spans="1:10" ht="15.6" thickTop="1" thickBot="1" x14ac:dyDescent="0.35">
      <c r="A117" s="1" t="s">
        <v>204</v>
      </c>
      <c r="B117" s="1" t="s">
        <v>30</v>
      </c>
      <c r="C117" s="1" t="s">
        <v>133</v>
      </c>
      <c r="D117" s="1" t="s">
        <v>22</v>
      </c>
      <c r="E117" s="1" t="s">
        <v>23</v>
      </c>
      <c r="F117" s="1" t="s">
        <v>24</v>
      </c>
      <c r="G117" s="1" t="s">
        <v>45</v>
      </c>
      <c r="H117" s="1">
        <v>7204</v>
      </c>
      <c r="I117" s="1">
        <v>944</v>
      </c>
      <c r="J117" s="2">
        <v>6800576</v>
      </c>
    </row>
    <row r="118" spans="1:10" ht="15.6" thickTop="1" thickBot="1" x14ac:dyDescent="0.35">
      <c r="A118" s="1" t="s">
        <v>205</v>
      </c>
      <c r="B118" s="1" t="s">
        <v>30</v>
      </c>
      <c r="C118" s="1" t="s">
        <v>133</v>
      </c>
      <c r="D118" s="1" t="s">
        <v>56</v>
      </c>
      <c r="E118" s="1" t="s">
        <v>117</v>
      </c>
      <c r="F118" s="1" t="s">
        <v>58</v>
      </c>
      <c r="G118" s="1" t="s">
        <v>45</v>
      </c>
      <c r="H118" s="1">
        <v>5004</v>
      </c>
      <c r="I118" s="1">
        <v>681</v>
      </c>
      <c r="J118" s="2">
        <v>3407724</v>
      </c>
    </row>
    <row r="119" spans="1:10" ht="15.6" thickTop="1" thickBot="1" x14ac:dyDescent="0.35">
      <c r="A119" s="1" t="s">
        <v>206</v>
      </c>
      <c r="B119" s="1" t="s">
        <v>30</v>
      </c>
      <c r="C119" s="1" t="s">
        <v>133</v>
      </c>
      <c r="D119" s="1" t="s">
        <v>22</v>
      </c>
      <c r="E119" s="1" t="s">
        <v>119</v>
      </c>
      <c r="F119" s="1" t="s">
        <v>90</v>
      </c>
      <c r="G119" s="1" t="s">
        <v>45</v>
      </c>
      <c r="H119" s="1">
        <v>2162</v>
      </c>
      <c r="I119" s="1">
        <v>880</v>
      </c>
      <c r="J119" s="2">
        <v>1902560</v>
      </c>
    </row>
    <row r="120" spans="1:10" ht="15.6" thickTop="1" thickBot="1" x14ac:dyDescent="0.35">
      <c r="A120" s="1" t="s">
        <v>207</v>
      </c>
      <c r="B120" s="1" t="s">
        <v>30</v>
      </c>
      <c r="C120" s="1" t="s">
        <v>133</v>
      </c>
      <c r="D120" s="1" t="s">
        <v>22</v>
      </c>
      <c r="E120" s="1" t="s">
        <v>121</v>
      </c>
      <c r="F120" s="1" t="s">
        <v>24</v>
      </c>
      <c r="G120" s="1" t="s">
        <v>45</v>
      </c>
      <c r="H120" s="1">
        <v>6223</v>
      </c>
      <c r="I120" s="1">
        <v>783</v>
      </c>
      <c r="J120" s="2">
        <v>4872609</v>
      </c>
    </row>
    <row r="121" spans="1:10" ht="15.6" thickTop="1" thickBot="1" x14ac:dyDescent="0.35">
      <c r="A121" s="1" t="s">
        <v>208</v>
      </c>
      <c r="B121" s="1" t="s">
        <v>30</v>
      </c>
      <c r="C121" s="1" t="s">
        <v>133</v>
      </c>
      <c r="D121" s="1" t="s">
        <v>26</v>
      </c>
      <c r="E121" s="1" t="s">
        <v>123</v>
      </c>
      <c r="F121" s="1" t="s">
        <v>33</v>
      </c>
      <c r="G121" s="1" t="s">
        <v>45</v>
      </c>
      <c r="H121" s="1">
        <v>5481</v>
      </c>
      <c r="I121" s="1">
        <v>646</v>
      </c>
      <c r="J121" s="2">
        <v>3540726</v>
      </c>
    </row>
    <row r="122" spans="1:10" ht="15.6" thickTop="1" thickBot="1" x14ac:dyDescent="0.35">
      <c r="A122" s="1" t="s">
        <v>209</v>
      </c>
      <c r="B122" s="1" t="s">
        <v>30</v>
      </c>
      <c r="C122" s="1" t="s">
        <v>133</v>
      </c>
      <c r="D122" s="1" t="s">
        <v>13</v>
      </c>
      <c r="E122" s="1" t="s">
        <v>14</v>
      </c>
      <c r="F122" s="1" t="s">
        <v>14</v>
      </c>
      <c r="G122" s="1" t="s">
        <v>15</v>
      </c>
      <c r="H122" s="1">
        <v>7362</v>
      </c>
      <c r="I122" s="1">
        <v>848</v>
      </c>
      <c r="J122" s="2">
        <v>6242976</v>
      </c>
    </row>
    <row r="123" spans="1:10" ht="15.6" thickTop="1" thickBot="1" x14ac:dyDescent="0.35">
      <c r="A123" s="1" t="s">
        <v>210</v>
      </c>
      <c r="B123" s="1" t="s">
        <v>30</v>
      </c>
      <c r="C123" s="1" t="s">
        <v>133</v>
      </c>
      <c r="D123" s="1" t="s">
        <v>18</v>
      </c>
      <c r="E123" s="1" t="s">
        <v>19</v>
      </c>
      <c r="F123" s="1" t="s">
        <v>20</v>
      </c>
      <c r="G123" s="1" t="s">
        <v>15</v>
      </c>
      <c r="H123" s="1">
        <v>6176</v>
      </c>
      <c r="I123" s="1">
        <v>639</v>
      </c>
      <c r="J123" s="2">
        <v>3946464</v>
      </c>
    </row>
    <row r="124" spans="1:10" ht="15.6" thickTop="1" thickBot="1" x14ac:dyDescent="0.35">
      <c r="A124" s="1" t="s">
        <v>211</v>
      </c>
      <c r="B124" s="1" t="s">
        <v>30</v>
      </c>
      <c r="C124" s="1" t="s">
        <v>133</v>
      </c>
      <c r="D124" s="1" t="s">
        <v>22</v>
      </c>
      <c r="E124" s="1" t="s">
        <v>23</v>
      </c>
      <c r="F124" s="1" t="s">
        <v>24</v>
      </c>
      <c r="G124" s="1" t="s">
        <v>15</v>
      </c>
      <c r="H124" s="1">
        <v>6492</v>
      </c>
      <c r="I124" s="1">
        <v>714</v>
      </c>
      <c r="J124" s="2">
        <v>4635288</v>
      </c>
    </row>
    <row r="125" spans="1:10" ht="15.6" thickTop="1" thickBot="1" x14ac:dyDescent="0.35">
      <c r="A125" s="1" t="s">
        <v>212</v>
      </c>
      <c r="B125" s="1" t="s">
        <v>30</v>
      </c>
      <c r="C125" s="1" t="s">
        <v>133</v>
      </c>
      <c r="D125" s="1" t="s">
        <v>26</v>
      </c>
      <c r="E125" s="1" t="s">
        <v>27</v>
      </c>
      <c r="F125" s="1" t="s">
        <v>28</v>
      </c>
      <c r="G125" s="1" t="s">
        <v>15</v>
      </c>
      <c r="H125" s="1">
        <v>5268</v>
      </c>
      <c r="I125" s="1">
        <v>992</v>
      </c>
      <c r="J125" s="2">
        <v>5225856</v>
      </c>
    </row>
    <row r="126" spans="1:10" ht="15.6" thickTop="1" thickBot="1" x14ac:dyDescent="0.35">
      <c r="A126" s="1" t="s">
        <v>213</v>
      </c>
      <c r="B126" s="1" t="s">
        <v>30</v>
      </c>
      <c r="C126" s="1" t="s">
        <v>146</v>
      </c>
      <c r="D126" s="1" t="s">
        <v>26</v>
      </c>
      <c r="E126" s="1" t="s">
        <v>32</v>
      </c>
      <c r="F126" s="1" t="s">
        <v>33</v>
      </c>
      <c r="G126" s="1" t="s">
        <v>15</v>
      </c>
      <c r="H126" s="1">
        <v>2613</v>
      </c>
      <c r="I126" s="1">
        <v>910</v>
      </c>
      <c r="J126" s="2">
        <v>2377830</v>
      </c>
    </row>
    <row r="127" spans="1:10" ht="15.6" thickTop="1" thickBot="1" x14ac:dyDescent="0.35">
      <c r="A127" s="1" t="s">
        <v>214</v>
      </c>
      <c r="B127" s="1" t="s">
        <v>30</v>
      </c>
      <c r="C127" s="1" t="s">
        <v>146</v>
      </c>
      <c r="D127" s="1" t="s">
        <v>26</v>
      </c>
      <c r="E127" s="1" t="s">
        <v>35</v>
      </c>
      <c r="F127" s="1" t="s">
        <v>36</v>
      </c>
      <c r="G127" s="1" t="s">
        <v>45</v>
      </c>
      <c r="H127" s="1">
        <v>3530</v>
      </c>
      <c r="I127" s="1">
        <v>693</v>
      </c>
      <c r="J127" s="2">
        <v>2446290</v>
      </c>
    </row>
    <row r="128" spans="1:10" ht="15.6" thickTop="1" thickBot="1" x14ac:dyDescent="0.35">
      <c r="A128" s="1" t="s">
        <v>215</v>
      </c>
      <c r="B128" s="1" t="s">
        <v>30</v>
      </c>
      <c r="C128" s="1" t="s">
        <v>146</v>
      </c>
      <c r="D128" s="1" t="s">
        <v>18</v>
      </c>
      <c r="E128" s="1" t="s">
        <v>38</v>
      </c>
      <c r="F128" s="1" t="s">
        <v>39</v>
      </c>
      <c r="G128" s="1" t="s">
        <v>45</v>
      </c>
      <c r="H128" s="1">
        <v>6376</v>
      </c>
      <c r="I128" s="1">
        <v>909</v>
      </c>
      <c r="J128" s="2">
        <v>5795784</v>
      </c>
    </row>
    <row r="129" spans="1:10" ht="15.6" thickTop="1" thickBot="1" x14ac:dyDescent="0.35">
      <c r="A129" s="1" t="s">
        <v>216</v>
      </c>
      <c r="B129" s="1" t="s">
        <v>158</v>
      </c>
      <c r="C129" s="1" t="s">
        <v>178</v>
      </c>
      <c r="D129" s="1" t="s">
        <v>18</v>
      </c>
      <c r="E129" s="1" t="s">
        <v>41</v>
      </c>
      <c r="F129" s="1" t="s">
        <v>20</v>
      </c>
      <c r="G129" s="1" t="s">
        <v>45</v>
      </c>
      <c r="H129" s="1">
        <v>5087</v>
      </c>
      <c r="I129" s="1">
        <v>555</v>
      </c>
      <c r="J129" s="2">
        <v>2823285</v>
      </c>
    </row>
    <row r="130" spans="1:10" ht="15.6" thickTop="1" thickBot="1" x14ac:dyDescent="0.35">
      <c r="A130" s="1" t="s">
        <v>217</v>
      </c>
      <c r="B130" s="1" t="s">
        <v>158</v>
      </c>
      <c r="C130" s="1" t="s">
        <v>178</v>
      </c>
      <c r="D130" s="1" t="s">
        <v>13</v>
      </c>
      <c r="E130" s="1" t="s">
        <v>43</v>
      </c>
      <c r="F130" s="1" t="s">
        <v>44</v>
      </c>
      <c r="G130" s="1" t="s">
        <v>45</v>
      </c>
      <c r="H130" s="1">
        <v>8044</v>
      </c>
      <c r="I130" s="1">
        <v>681</v>
      </c>
      <c r="J130" s="2">
        <v>5477964</v>
      </c>
    </row>
    <row r="131" spans="1:10" ht="15.6" thickTop="1" thickBot="1" x14ac:dyDescent="0.35">
      <c r="A131" s="1" t="s">
        <v>218</v>
      </c>
      <c r="B131" s="1" t="s">
        <v>158</v>
      </c>
      <c r="C131" s="1" t="s">
        <v>178</v>
      </c>
      <c r="D131" s="1" t="s">
        <v>18</v>
      </c>
      <c r="E131" s="1" t="s">
        <v>47</v>
      </c>
      <c r="F131" s="1" t="s">
        <v>39</v>
      </c>
      <c r="G131" s="1" t="s">
        <v>45</v>
      </c>
      <c r="H131" s="1">
        <v>4427</v>
      </c>
      <c r="I131" s="1">
        <v>818</v>
      </c>
      <c r="J131" s="2">
        <v>3621286</v>
      </c>
    </row>
    <row r="132" spans="1:10" ht="15.6" thickTop="1" thickBot="1" x14ac:dyDescent="0.35">
      <c r="A132" s="1" t="s">
        <v>219</v>
      </c>
      <c r="B132" s="1" t="s">
        <v>158</v>
      </c>
      <c r="C132" s="1" t="s">
        <v>178</v>
      </c>
      <c r="D132" s="1" t="s">
        <v>13</v>
      </c>
      <c r="E132" s="1" t="s">
        <v>49</v>
      </c>
      <c r="F132" s="1" t="s">
        <v>50</v>
      </c>
      <c r="G132" s="1" t="s">
        <v>45</v>
      </c>
      <c r="H132" s="1">
        <v>5689</v>
      </c>
      <c r="I132" s="1">
        <v>827</v>
      </c>
      <c r="J132" s="2">
        <v>4704803</v>
      </c>
    </row>
    <row r="133" spans="1:10" ht="15.6" thickTop="1" thickBot="1" x14ac:dyDescent="0.35">
      <c r="A133" s="1" t="s">
        <v>220</v>
      </c>
      <c r="B133" s="1" t="s">
        <v>158</v>
      </c>
      <c r="C133" s="1" t="s">
        <v>178</v>
      </c>
      <c r="D133" s="1" t="s">
        <v>13</v>
      </c>
      <c r="E133" s="1" t="s">
        <v>52</v>
      </c>
      <c r="F133" s="1" t="s">
        <v>50</v>
      </c>
      <c r="G133" s="1" t="s">
        <v>45</v>
      </c>
      <c r="H133" s="1">
        <v>2431</v>
      </c>
      <c r="I133" s="1">
        <v>556</v>
      </c>
      <c r="J133" s="2">
        <v>1351636</v>
      </c>
    </row>
    <row r="134" spans="1:10" ht="15.6" thickTop="1" thickBot="1" x14ac:dyDescent="0.35">
      <c r="A134" s="1" t="s">
        <v>221</v>
      </c>
      <c r="B134" s="1" t="s">
        <v>158</v>
      </c>
      <c r="C134" s="1" t="s">
        <v>178</v>
      </c>
      <c r="D134" s="1" t="s">
        <v>18</v>
      </c>
      <c r="E134" s="1" t="s">
        <v>54</v>
      </c>
      <c r="F134" s="1" t="s">
        <v>20</v>
      </c>
      <c r="G134" s="1" t="s">
        <v>15</v>
      </c>
      <c r="H134" s="1">
        <v>1567</v>
      </c>
      <c r="I134" s="1">
        <v>781</v>
      </c>
      <c r="J134" s="2">
        <v>1223827</v>
      </c>
    </row>
    <row r="135" spans="1:10" ht="15.6" thickTop="1" thickBot="1" x14ac:dyDescent="0.35">
      <c r="A135" s="1" t="s">
        <v>222</v>
      </c>
      <c r="B135" s="1" t="s">
        <v>158</v>
      </c>
      <c r="C135" s="1" t="s">
        <v>178</v>
      </c>
      <c r="D135" s="1" t="s">
        <v>56</v>
      </c>
      <c r="E135" s="1" t="s">
        <v>57</v>
      </c>
      <c r="F135" s="1" t="s">
        <v>58</v>
      </c>
      <c r="G135" s="1" t="s">
        <v>15</v>
      </c>
      <c r="H135" s="1">
        <v>4760</v>
      </c>
      <c r="I135" s="1">
        <v>578</v>
      </c>
      <c r="J135" s="2">
        <v>2751280</v>
      </c>
    </row>
    <row r="136" spans="1:10" ht="15.6" thickTop="1" thickBot="1" x14ac:dyDescent="0.35">
      <c r="A136" s="1" t="s">
        <v>223</v>
      </c>
      <c r="B136" s="1" t="s">
        <v>11</v>
      </c>
      <c r="C136" s="1" t="s">
        <v>116</v>
      </c>
      <c r="D136" s="1" t="s">
        <v>18</v>
      </c>
      <c r="E136" s="1" t="s">
        <v>61</v>
      </c>
      <c r="F136" s="1" t="s">
        <v>20</v>
      </c>
      <c r="G136" s="1" t="s">
        <v>15</v>
      </c>
      <c r="H136" s="1">
        <v>2605</v>
      </c>
      <c r="I136" s="1">
        <v>737</v>
      </c>
      <c r="J136" s="2">
        <v>1919885</v>
      </c>
    </row>
    <row r="137" spans="1:10" ht="15.6" thickTop="1" thickBot="1" x14ac:dyDescent="0.35">
      <c r="A137" s="1" t="s">
        <v>224</v>
      </c>
      <c r="B137" s="1" t="s">
        <v>11</v>
      </c>
      <c r="C137" s="1" t="s">
        <v>116</v>
      </c>
      <c r="D137" s="1" t="s">
        <v>63</v>
      </c>
      <c r="E137" s="1" t="s">
        <v>64</v>
      </c>
      <c r="F137" s="1" t="s">
        <v>64</v>
      </c>
      <c r="G137" s="1" t="s">
        <v>15</v>
      </c>
      <c r="H137" s="1">
        <v>8431</v>
      </c>
      <c r="I137" s="1">
        <v>507</v>
      </c>
      <c r="J137" s="2">
        <v>4274517</v>
      </c>
    </row>
    <row r="138" spans="1:10" ht="15.6" thickTop="1" thickBot="1" x14ac:dyDescent="0.35">
      <c r="A138" s="1" t="s">
        <v>225</v>
      </c>
      <c r="B138" s="1" t="s">
        <v>11</v>
      </c>
      <c r="C138" s="1" t="s">
        <v>116</v>
      </c>
      <c r="D138" s="1" t="s">
        <v>56</v>
      </c>
      <c r="E138" s="1" t="s">
        <v>66</v>
      </c>
      <c r="F138" s="1" t="s">
        <v>58</v>
      </c>
      <c r="G138" s="1" t="s">
        <v>45</v>
      </c>
      <c r="H138" s="1">
        <v>5487</v>
      </c>
      <c r="I138" s="1">
        <v>879</v>
      </c>
      <c r="J138" s="2">
        <v>4823073</v>
      </c>
    </row>
    <row r="139" spans="1:10" ht="15.6" thickTop="1" thickBot="1" x14ac:dyDescent="0.35">
      <c r="A139" s="1" t="s">
        <v>226</v>
      </c>
      <c r="B139" s="1" t="s">
        <v>11</v>
      </c>
      <c r="C139" s="1" t="s">
        <v>116</v>
      </c>
      <c r="D139" s="1" t="s">
        <v>26</v>
      </c>
      <c r="E139" s="1" t="s">
        <v>68</v>
      </c>
      <c r="F139" s="1" t="s">
        <v>69</v>
      </c>
      <c r="G139" s="1" t="s">
        <v>15</v>
      </c>
      <c r="H139" s="1">
        <v>3782</v>
      </c>
      <c r="I139" s="1">
        <v>528</v>
      </c>
      <c r="J139" s="2">
        <v>1996896</v>
      </c>
    </row>
    <row r="140" spans="1:10" ht="15.6" thickTop="1" thickBot="1" x14ac:dyDescent="0.35">
      <c r="A140" s="1" t="s">
        <v>227</v>
      </c>
      <c r="B140" s="1" t="s">
        <v>11</v>
      </c>
      <c r="C140" s="1" t="s">
        <v>116</v>
      </c>
      <c r="D140" s="1" t="s">
        <v>22</v>
      </c>
      <c r="E140" s="1" t="s">
        <v>71</v>
      </c>
      <c r="F140" s="1" t="s">
        <v>72</v>
      </c>
      <c r="G140" s="1" t="s">
        <v>15</v>
      </c>
      <c r="H140" s="1">
        <v>2743</v>
      </c>
      <c r="I140" s="1">
        <v>575</v>
      </c>
      <c r="J140" s="2">
        <v>1577225</v>
      </c>
    </row>
    <row r="141" spans="1:10" ht="15.6" thickTop="1" thickBot="1" x14ac:dyDescent="0.35">
      <c r="A141" s="1" t="s">
        <v>228</v>
      </c>
      <c r="B141" s="1" t="s">
        <v>11</v>
      </c>
      <c r="C141" s="1" t="s">
        <v>116</v>
      </c>
      <c r="D141" s="1" t="s">
        <v>18</v>
      </c>
      <c r="E141" s="1" t="s">
        <v>74</v>
      </c>
      <c r="F141" s="1" t="s">
        <v>39</v>
      </c>
      <c r="G141" s="1" t="s">
        <v>15</v>
      </c>
      <c r="H141" s="1">
        <v>4239</v>
      </c>
      <c r="I141" s="1">
        <v>922</v>
      </c>
      <c r="J141" s="2">
        <v>3908358</v>
      </c>
    </row>
    <row r="142" spans="1:10" ht="15.6" thickTop="1" thickBot="1" x14ac:dyDescent="0.35">
      <c r="A142" s="1" t="s">
        <v>229</v>
      </c>
      <c r="B142" s="1" t="s">
        <v>11</v>
      </c>
      <c r="C142" s="1" t="s">
        <v>116</v>
      </c>
      <c r="D142" s="1" t="s">
        <v>13</v>
      </c>
      <c r="E142" s="1" t="s">
        <v>76</v>
      </c>
      <c r="F142" s="1" t="s">
        <v>50</v>
      </c>
      <c r="G142" s="1" t="s">
        <v>15</v>
      </c>
      <c r="H142" s="1">
        <v>7544</v>
      </c>
      <c r="I142" s="1">
        <v>593</v>
      </c>
      <c r="J142" s="2">
        <v>4473592</v>
      </c>
    </row>
    <row r="143" spans="1:10" ht="15.6" thickTop="1" thickBot="1" x14ac:dyDescent="0.35">
      <c r="A143" s="1" t="s">
        <v>230</v>
      </c>
      <c r="B143" s="1" t="s">
        <v>11</v>
      </c>
      <c r="C143" s="1" t="s">
        <v>116</v>
      </c>
      <c r="D143" s="1" t="s">
        <v>13</v>
      </c>
      <c r="E143" s="1" t="s">
        <v>79</v>
      </c>
      <c r="F143" s="1" t="s">
        <v>50</v>
      </c>
      <c r="G143" s="1" t="s">
        <v>45</v>
      </c>
      <c r="H143" s="1">
        <v>3400</v>
      </c>
      <c r="I143" s="1">
        <v>948</v>
      </c>
      <c r="J143" s="2">
        <v>3223200</v>
      </c>
    </row>
    <row r="144" spans="1:10" ht="15.6" thickTop="1" thickBot="1" x14ac:dyDescent="0.35">
      <c r="A144" s="1" t="s">
        <v>231</v>
      </c>
      <c r="B144" s="1" t="s">
        <v>11</v>
      </c>
      <c r="C144" s="1" t="s">
        <v>116</v>
      </c>
      <c r="D144" s="1" t="s">
        <v>26</v>
      </c>
      <c r="E144" s="1" t="s">
        <v>81</v>
      </c>
      <c r="F144" s="1" t="s">
        <v>28</v>
      </c>
      <c r="G144" s="1" t="s">
        <v>45</v>
      </c>
      <c r="H144" s="1">
        <v>1964</v>
      </c>
      <c r="I144" s="1">
        <v>787</v>
      </c>
      <c r="J144" s="2">
        <v>1545668</v>
      </c>
    </row>
    <row r="145" spans="1:10" ht="15.6" thickTop="1" thickBot="1" x14ac:dyDescent="0.35">
      <c r="A145" s="1" t="s">
        <v>232</v>
      </c>
      <c r="B145" s="1" t="s">
        <v>11</v>
      </c>
      <c r="C145" s="1" t="s">
        <v>116</v>
      </c>
      <c r="D145" s="1" t="s">
        <v>26</v>
      </c>
      <c r="E145" s="1" t="s">
        <v>83</v>
      </c>
      <c r="F145" s="1" t="s">
        <v>28</v>
      </c>
      <c r="G145" s="1" t="s">
        <v>45</v>
      </c>
      <c r="H145" s="1">
        <v>4945</v>
      </c>
      <c r="I145" s="1">
        <v>938</v>
      </c>
      <c r="J145" s="2">
        <v>4638410</v>
      </c>
    </row>
    <row r="146" spans="1:10" ht="15.6" thickTop="1" thickBot="1" x14ac:dyDescent="0.35">
      <c r="A146" s="1" t="s">
        <v>233</v>
      </c>
      <c r="B146" s="1" t="s">
        <v>11</v>
      </c>
      <c r="C146" s="1" t="s">
        <v>116</v>
      </c>
      <c r="D146" s="1" t="s">
        <v>13</v>
      </c>
      <c r="E146" s="1" t="s">
        <v>85</v>
      </c>
      <c r="F146" s="1" t="s">
        <v>44</v>
      </c>
      <c r="G146" s="1" t="s">
        <v>45</v>
      </c>
      <c r="H146" s="1">
        <v>5530</v>
      </c>
      <c r="I146" s="1">
        <v>777</v>
      </c>
      <c r="J146" s="2">
        <v>4296810</v>
      </c>
    </row>
    <row r="147" spans="1:10" ht="15.6" thickTop="1" thickBot="1" x14ac:dyDescent="0.35">
      <c r="A147" s="1" t="s">
        <v>234</v>
      </c>
      <c r="B147" s="1" t="s">
        <v>30</v>
      </c>
      <c r="C147" s="1" t="s">
        <v>133</v>
      </c>
      <c r="D147" s="1" t="s">
        <v>13</v>
      </c>
      <c r="E147" s="1" t="s">
        <v>87</v>
      </c>
      <c r="F147" s="1" t="s">
        <v>50</v>
      </c>
      <c r="G147" s="1" t="s">
        <v>45</v>
      </c>
      <c r="H147" s="1">
        <v>4862</v>
      </c>
      <c r="I147" s="1">
        <v>954</v>
      </c>
      <c r="J147" s="2">
        <v>4638348</v>
      </c>
    </row>
    <row r="148" spans="1:10" ht="15.6" thickTop="1" thickBot="1" x14ac:dyDescent="0.35">
      <c r="A148" s="1" t="s">
        <v>235</v>
      </c>
      <c r="B148" s="1" t="s">
        <v>30</v>
      </c>
      <c r="C148" s="1" t="s">
        <v>133</v>
      </c>
      <c r="D148" s="1" t="s">
        <v>22</v>
      </c>
      <c r="E148" s="1" t="s">
        <v>89</v>
      </c>
      <c r="F148" s="1" t="s">
        <v>90</v>
      </c>
      <c r="G148" s="1" t="s">
        <v>45</v>
      </c>
      <c r="H148" s="1">
        <v>9354</v>
      </c>
      <c r="I148" s="1">
        <v>899</v>
      </c>
      <c r="J148" s="2">
        <v>8409246</v>
      </c>
    </row>
    <row r="149" spans="1:10" ht="15.6" thickTop="1" thickBot="1" x14ac:dyDescent="0.35">
      <c r="A149" s="1" t="s">
        <v>236</v>
      </c>
      <c r="B149" s="1" t="s">
        <v>30</v>
      </c>
      <c r="C149" s="1" t="s">
        <v>133</v>
      </c>
      <c r="D149" s="1" t="s">
        <v>26</v>
      </c>
      <c r="E149" s="1" t="s">
        <v>92</v>
      </c>
      <c r="F149" s="1" t="s">
        <v>93</v>
      </c>
      <c r="G149" s="1" t="s">
        <v>45</v>
      </c>
      <c r="H149" s="1">
        <v>4121</v>
      </c>
      <c r="I149" s="1">
        <v>904</v>
      </c>
      <c r="J149" s="2">
        <v>3725384</v>
      </c>
    </row>
    <row r="150" spans="1:10" ht="15.6" thickTop="1" thickBot="1" x14ac:dyDescent="0.35">
      <c r="A150" s="1" t="s">
        <v>237</v>
      </c>
      <c r="B150" s="1" t="s">
        <v>30</v>
      </c>
      <c r="C150" s="1" t="s">
        <v>133</v>
      </c>
      <c r="D150" s="1" t="s">
        <v>18</v>
      </c>
      <c r="E150" s="1" t="s">
        <v>95</v>
      </c>
      <c r="F150" s="1" t="s">
        <v>20</v>
      </c>
      <c r="G150" s="1" t="s">
        <v>45</v>
      </c>
      <c r="H150" s="1">
        <v>9914</v>
      </c>
      <c r="I150" s="1">
        <v>615</v>
      </c>
      <c r="J150" s="2">
        <v>6097110</v>
      </c>
    </row>
    <row r="151" spans="1:10" ht="15.6" thickTop="1" thickBot="1" x14ac:dyDescent="0.35">
      <c r="A151" s="1" t="s">
        <v>238</v>
      </c>
      <c r="B151" s="1" t="s">
        <v>30</v>
      </c>
      <c r="C151" s="1" t="s">
        <v>133</v>
      </c>
      <c r="D151" s="1" t="s">
        <v>13</v>
      </c>
      <c r="E151" s="1" t="s">
        <v>97</v>
      </c>
      <c r="F151" s="1" t="s">
        <v>98</v>
      </c>
      <c r="G151" s="1" t="s">
        <v>45</v>
      </c>
      <c r="H151" s="1">
        <v>2904</v>
      </c>
      <c r="I151" s="1">
        <v>997</v>
      </c>
      <c r="J151" s="2">
        <v>2895288</v>
      </c>
    </row>
    <row r="152" spans="1:10" ht="15.6" thickTop="1" thickBot="1" x14ac:dyDescent="0.35">
      <c r="A152" s="1" t="s">
        <v>239</v>
      </c>
      <c r="B152" s="1" t="s">
        <v>30</v>
      </c>
      <c r="C152" s="1" t="s">
        <v>133</v>
      </c>
      <c r="D152" s="1" t="s">
        <v>13</v>
      </c>
      <c r="E152" s="1" t="s">
        <v>100</v>
      </c>
      <c r="F152" s="1" t="s">
        <v>101</v>
      </c>
      <c r="G152" s="1" t="s">
        <v>45</v>
      </c>
      <c r="H152" s="1">
        <v>9981</v>
      </c>
      <c r="I152" s="1">
        <v>833</v>
      </c>
      <c r="J152" s="2">
        <v>8314173</v>
      </c>
    </row>
    <row r="153" spans="1:10" ht="15.6" thickTop="1" thickBot="1" x14ac:dyDescent="0.35">
      <c r="A153" s="1" t="s">
        <v>240</v>
      </c>
      <c r="B153" s="1" t="s">
        <v>30</v>
      </c>
      <c r="C153" s="1" t="s">
        <v>133</v>
      </c>
      <c r="D153" s="1" t="s">
        <v>103</v>
      </c>
      <c r="E153" s="1" t="s">
        <v>104</v>
      </c>
      <c r="F153" s="1" t="s">
        <v>105</v>
      </c>
      <c r="G153" s="1" t="s">
        <v>15</v>
      </c>
      <c r="H153" s="1">
        <v>3876</v>
      </c>
      <c r="I153" s="1">
        <v>861</v>
      </c>
      <c r="J153" s="2">
        <v>3337236</v>
      </c>
    </row>
    <row r="154" spans="1:10" ht="15.6" thickTop="1" thickBot="1" x14ac:dyDescent="0.35">
      <c r="A154" s="1" t="s">
        <v>241</v>
      </c>
      <c r="B154" s="1" t="s">
        <v>30</v>
      </c>
      <c r="C154" s="1" t="s">
        <v>133</v>
      </c>
      <c r="D154" s="1" t="s">
        <v>13</v>
      </c>
      <c r="E154" s="1" t="s">
        <v>107</v>
      </c>
      <c r="F154" s="1" t="s">
        <v>108</v>
      </c>
      <c r="G154" s="1" t="s">
        <v>15</v>
      </c>
      <c r="H154" s="1">
        <v>8887</v>
      </c>
      <c r="I154" s="1">
        <v>717</v>
      </c>
      <c r="J154" s="2">
        <v>6371979</v>
      </c>
    </row>
    <row r="155" spans="1:10" ht="15.6" thickTop="1" thickBot="1" x14ac:dyDescent="0.35">
      <c r="A155" s="1" t="s">
        <v>242</v>
      </c>
      <c r="B155" s="1" t="s">
        <v>30</v>
      </c>
      <c r="C155" s="1" t="s">
        <v>133</v>
      </c>
      <c r="D155" s="1" t="s">
        <v>56</v>
      </c>
      <c r="E155" s="1" t="s">
        <v>110</v>
      </c>
      <c r="F155" s="1" t="s">
        <v>111</v>
      </c>
      <c r="G155" s="1" t="s">
        <v>15</v>
      </c>
      <c r="H155" s="1">
        <v>3673</v>
      </c>
      <c r="I155" s="1">
        <v>619</v>
      </c>
      <c r="J155" s="2">
        <v>2273587</v>
      </c>
    </row>
    <row r="156" spans="1:10" ht="15.6" thickTop="1" thickBot="1" x14ac:dyDescent="0.35">
      <c r="A156" s="1" t="s">
        <v>243</v>
      </c>
      <c r="B156" s="1" t="s">
        <v>30</v>
      </c>
      <c r="C156" s="1" t="s">
        <v>146</v>
      </c>
      <c r="D156" s="1" t="s">
        <v>22</v>
      </c>
      <c r="E156" s="1" t="s">
        <v>113</v>
      </c>
      <c r="F156" s="1" t="s">
        <v>24</v>
      </c>
      <c r="G156" s="1" t="s">
        <v>15</v>
      </c>
      <c r="H156" s="1">
        <v>7588</v>
      </c>
      <c r="I156" s="1">
        <v>607</v>
      </c>
      <c r="J156" s="2">
        <v>4605916</v>
      </c>
    </row>
    <row r="157" spans="1:10" ht="15.6" thickTop="1" thickBot="1" x14ac:dyDescent="0.35">
      <c r="A157" s="1" t="s">
        <v>244</v>
      </c>
      <c r="B157" s="1" t="s">
        <v>30</v>
      </c>
      <c r="C157" s="1" t="s">
        <v>146</v>
      </c>
      <c r="D157" s="1" t="s">
        <v>22</v>
      </c>
      <c r="E157" s="1" t="s">
        <v>23</v>
      </c>
      <c r="F157" s="1" t="s">
        <v>24</v>
      </c>
      <c r="G157" s="1" t="s">
        <v>15</v>
      </c>
      <c r="H157" s="1">
        <v>5137</v>
      </c>
      <c r="I157" s="1">
        <v>690</v>
      </c>
      <c r="J157" s="2">
        <v>3544530</v>
      </c>
    </row>
    <row r="158" spans="1:10" ht="15.6" thickTop="1" thickBot="1" x14ac:dyDescent="0.35">
      <c r="A158" s="1" t="s">
        <v>245</v>
      </c>
      <c r="B158" s="1" t="s">
        <v>30</v>
      </c>
      <c r="C158" s="1" t="s">
        <v>146</v>
      </c>
      <c r="D158" s="1" t="s">
        <v>56</v>
      </c>
      <c r="E158" s="1" t="s">
        <v>117</v>
      </c>
      <c r="F158" s="1" t="s">
        <v>58</v>
      </c>
      <c r="G158" s="1" t="s">
        <v>45</v>
      </c>
      <c r="H158" s="1">
        <v>5813</v>
      </c>
      <c r="I158" s="1">
        <v>673</v>
      </c>
      <c r="J158" s="2">
        <v>3912149</v>
      </c>
    </row>
    <row r="159" spans="1:10" ht="15.6" thickTop="1" thickBot="1" x14ac:dyDescent="0.35">
      <c r="A159" s="1" t="s">
        <v>246</v>
      </c>
      <c r="B159" s="1" t="s">
        <v>30</v>
      </c>
      <c r="C159" s="1" t="s">
        <v>146</v>
      </c>
      <c r="D159" s="1" t="s">
        <v>22</v>
      </c>
      <c r="E159" s="1" t="s">
        <v>119</v>
      </c>
      <c r="F159" s="1" t="s">
        <v>90</v>
      </c>
      <c r="G159" s="1" t="s">
        <v>45</v>
      </c>
      <c r="H159" s="1">
        <v>7330</v>
      </c>
      <c r="I159" s="1">
        <v>599</v>
      </c>
      <c r="J159" s="2">
        <v>4390670</v>
      </c>
    </row>
    <row r="160" spans="1:10" ht="15.6" thickTop="1" thickBot="1" x14ac:dyDescent="0.35">
      <c r="A160" s="1" t="s">
        <v>247</v>
      </c>
      <c r="B160" s="1" t="s">
        <v>30</v>
      </c>
      <c r="C160" s="1" t="s">
        <v>146</v>
      </c>
      <c r="D160" s="1" t="s">
        <v>22</v>
      </c>
      <c r="E160" s="1" t="s">
        <v>121</v>
      </c>
      <c r="F160" s="1" t="s">
        <v>24</v>
      </c>
      <c r="G160" s="1" t="s">
        <v>45</v>
      </c>
      <c r="H160" s="1">
        <v>8139</v>
      </c>
      <c r="I160" s="1">
        <v>655</v>
      </c>
      <c r="J160" s="2">
        <v>5331045</v>
      </c>
    </row>
    <row r="161" spans="1:10" ht="15.6" thickTop="1" thickBot="1" x14ac:dyDescent="0.35">
      <c r="A161" s="1" t="s">
        <v>248</v>
      </c>
      <c r="B161" s="1" t="s">
        <v>30</v>
      </c>
      <c r="C161" s="1" t="s">
        <v>146</v>
      </c>
      <c r="D161" s="1" t="s">
        <v>26</v>
      </c>
      <c r="E161" s="1" t="s">
        <v>123</v>
      </c>
      <c r="F161" s="1" t="s">
        <v>33</v>
      </c>
      <c r="G161" s="1" t="s">
        <v>15</v>
      </c>
      <c r="H161" s="1">
        <v>8203</v>
      </c>
      <c r="I161" s="1">
        <v>918</v>
      </c>
      <c r="J161" s="2">
        <v>7530354</v>
      </c>
    </row>
    <row r="162" spans="1:10" ht="15.6" thickTop="1" thickBot="1" x14ac:dyDescent="0.35">
      <c r="A162" s="1" t="s">
        <v>249</v>
      </c>
      <c r="B162" s="1" t="s">
        <v>158</v>
      </c>
      <c r="C162" s="1" t="s">
        <v>178</v>
      </c>
      <c r="D162" s="1" t="s">
        <v>13</v>
      </c>
      <c r="E162" s="1" t="s">
        <v>14</v>
      </c>
      <c r="F162" s="1" t="s">
        <v>14</v>
      </c>
      <c r="G162" s="1" t="s">
        <v>15</v>
      </c>
      <c r="H162" s="1">
        <v>1918</v>
      </c>
      <c r="I162" s="1">
        <v>866</v>
      </c>
      <c r="J162" s="2">
        <v>1660988</v>
      </c>
    </row>
    <row r="163" spans="1:10" ht="15.6" thickTop="1" thickBot="1" x14ac:dyDescent="0.35">
      <c r="A163" s="1" t="s">
        <v>250</v>
      </c>
      <c r="B163" s="1" t="s">
        <v>158</v>
      </c>
      <c r="C163" s="1" t="s">
        <v>178</v>
      </c>
      <c r="D163" s="1" t="s">
        <v>18</v>
      </c>
      <c r="E163" s="1" t="s">
        <v>19</v>
      </c>
      <c r="F163" s="1" t="s">
        <v>20</v>
      </c>
      <c r="G163" s="1" t="s">
        <v>15</v>
      </c>
      <c r="H163" s="1">
        <v>7692</v>
      </c>
      <c r="I163" s="1">
        <v>958</v>
      </c>
      <c r="J163" s="2">
        <v>7368936</v>
      </c>
    </row>
    <row r="164" spans="1:10" ht="15.6" thickTop="1" thickBot="1" x14ac:dyDescent="0.35">
      <c r="A164" s="1" t="s">
        <v>251</v>
      </c>
      <c r="B164" s="1" t="s">
        <v>158</v>
      </c>
      <c r="C164" s="1" t="s">
        <v>178</v>
      </c>
      <c r="D164" s="1" t="s">
        <v>22</v>
      </c>
      <c r="E164" s="1" t="s">
        <v>23</v>
      </c>
      <c r="F164" s="1" t="s">
        <v>24</v>
      </c>
      <c r="G164" s="1" t="s">
        <v>15</v>
      </c>
      <c r="H164" s="1">
        <v>8066</v>
      </c>
      <c r="I164" s="1">
        <v>985</v>
      </c>
      <c r="J164" s="2">
        <v>7945010</v>
      </c>
    </row>
    <row r="165" spans="1:10" ht="15.6" thickTop="1" thickBot="1" x14ac:dyDescent="0.35">
      <c r="A165" s="1" t="s">
        <v>252</v>
      </c>
      <c r="B165" s="1" t="s">
        <v>158</v>
      </c>
      <c r="C165" s="1" t="s">
        <v>178</v>
      </c>
      <c r="D165" s="1" t="s">
        <v>26</v>
      </c>
      <c r="E165" s="1" t="s">
        <v>27</v>
      </c>
      <c r="F165" s="1" t="s">
        <v>28</v>
      </c>
      <c r="G165" s="1" t="s">
        <v>15</v>
      </c>
      <c r="H165" s="1">
        <v>5931</v>
      </c>
      <c r="I165" s="1">
        <v>652</v>
      </c>
      <c r="J165" s="2">
        <v>3867012</v>
      </c>
    </row>
    <row r="166" spans="1:10" ht="15.6" thickTop="1" thickBot="1" x14ac:dyDescent="0.35">
      <c r="A166" s="1" t="s">
        <v>253</v>
      </c>
      <c r="B166" s="1" t="s">
        <v>158</v>
      </c>
      <c r="C166" s="1" t="s">
        <v>178</v>
      </c>
      <c r="D166" s="1" t="s">
        <v>26</v>
      </c>
      <c r="E166" s="1" t="s">
        <v>32</v>
      </c>
      <c r="F166" s="1" t="s">
        <v>33</v>
      </c>
      <c r="G166" s="1" t="s">
        <v>45</v>
      </c>
      <c r="H166" s="1">
        <v>5555</v>
      </c>
      <c r="I166" s="1">
        <v>506</v>
      </c>
      <c r="J166" s="2">
        <v>2810830</v>
      </c>
    </row>
    <row r="167" spans="1:10" ht="15.6" thickTop="1" thickBot="1" x14ac:dyDescent="0.35">
      <c r="A167" s="1" t="s">
        <v>254</v>
      </c>
      <c r="B167" s="1" t="s">
        <v>158</v>
      </c>
      <c r="C167" s="1" t="s">
        <v>178</v>
      </c>
      <c r="D167" s="1" t="s">
        <v>26</v>
      </c>
      <c r="E167" s="1" t="s">
        <v>35</v>
      </c>
      <c r="F167" s="1" t="s">
        <v>36</v>
      </c>
      <c r="G167" s="1" t="s">
        <v>45</v>
      </c>
      <c r="H167" s="1">
        <v>7543</v>
      </c>
      <c r="I167" s="1">
        <v>815</v>
      </c>
      <c r="J167" s="2">
        <v>6147545</v>
      </c>
    </row>
    <row r="168" spans="1:10" ht="15.6" thickTop="1" thickBot="1" x14ac:dyDescent="0.35">
      <c r="A168" s="1" t="s">
        <v>255</v>
      </c>
      <c r="B168" s="1" t="s">
        <v>158</v>
      </c>
      <c r="C168" s="1" t="s">
        <v>178</v>
      </c>
      <c r="D168" s="1" t="s">
        <v>18</v>
      </c>
      <c r="E168" s="1" t="s">
        <v>38</v>
      </c>
      <c r="F168" s="1" t="s">
        <v>39</v>
      </c>
      <c r="G168" s="1" t="s">
        <v>45</v>
      </c>
      <c r="H168" s="1">
        <v>7725</v>
      </c>
      <c r="I168" s="1">
        <v>964</v>
      </c>
      <c r="J168" s="2">
        <v>7446900</v>
      </c>
    </row>
    <row r="169" spans="1:10" ht="15.6" thickTop="1" thickBot="1" x14ac:dyDescent="0.35">
      <c r="A169" s="1" t="s">
        <v>256</v>
      </c>
      <c r="B169" s="1" t="s">
        <v>158</v>
      </c>
      <c r="C169" s="1" t="s">
        <v>178</v>
      </c>
      <c r="D169" s="1" t="s">
        <v>18</v>
      </c>
      <c r="E169" s="1" t="s">
        <v>41</v>
      </c>
      <c r="F169" s="1" t="s">
        <v>20</v>
      </c>
      <c r="G169" s="1" t="s">
        <v>45</v>
      </c>
      <c r="H169" s="1">
        <v>7125</v>
      </c>
      <c r="I169" s="1">
        <v>720</v>
      </c>
      <c r="J169" s="2">
        <v>5130000</v>
      </c>
    </row>
    <row r="170" spans="1:10" ht="15.6" thickTop="1" thickBot="1" x14ac:dyDescent="0.35">
      <c r="A170" s="1" t="s">
        <v>257</v>
      </c>
      <c r="B170" s="1" t="s">
        <v>158</v>
      </c>
      <c r="C170" s="1" t="s">
        <v>178</v>
      </c>
      <c r="D170" s="1" t="s">
        <v>13</v>
      </c>
      <c r="E170" s="1" t="s">
        <v>43</v>
      </c>
      <c r="F170" s="1" t="s">
        <v>44</v>
      </c>
      <c r="G170" s="1" t="s">
        <v>45</v>
      </c>
      <c r="H170" s="1">
        <v>1784</v>
      </c>
      <c r="I170" s="1">
        <v>820</v>
      </c>
      <c r="J170" s="2">
        <v>1462880</v>
      </c>
    </row>
    <row r="171" spans="1:10" ht="15.6" thickTop="1" thickBot="1" x14ac:dyDescent="0.35">
      <c r="A171" s="1" t="s">
        <v>258</v>
      </c>
      <c r="B171" s="1" t="s">
        <v>158</v>
      </c>
      <c r="C171" s="1" t="s">
        <v>178</v>
      </c>
      <c r="D171" s="1" t="s">
        <v>18</v>
      </c>
      <c r="E171" s="1" t="s">
        <v>47</v>
      </c>
      <c r="F171" s="1" t="s">
        <v>39</v>
      </c>
      <c r="G171" s="1" t="s">
        <v>45</v>
      </c>
      <c r="H171" s="1">
        <v>6571</v>
      </c>
      <c r="I171" s="1">
        <v>799</v>
      </c>
      <c r="J171" s="2">
        <v>5250229</v>
      </c>
    </row>
    <row r="172" spans="1:10" ht="15.6" thickTop="1" thickBot="1" x14ac:dyDescent="0.35">
      <c r="A172" s="1" t="s">
        <v>259</v>
      </c>
      <c r="B172" s="1" t="s">
        <v>158</v>
      </c>
      <c r="C172" s="1" t="s">
        <v>178</v>
      </c>
      <c r="D172" s="1" t="s">
        <v>13</v>
      </c>
      <c r="E172" s="1" t="s">
        <v>49</v>
      </c>
      <c r="F172" s="1" t="s">
        <v>50</v>
      </c>
      <c r="G172" s="1" t="s">
        <v>45</v>
      </c>
      <c r="H172" s="1">
        <v>6742</v>
      </c>
      <c r="I172" s="1">
        <v>544</v>
      </c>
      <c r="J172" s="2">
        <v>3667648</v>
      </c>
    </row>
    <row r="173" spans="1:10" ht="15.6" thickTop="1" thickBot="1" x14ac:dyDescent="0.35">
      <c r="A173" s="1" t="s">
        <v>260</v>
      </c>
      <c r="B173" s="1" t="s">
        <v>158</v>
      </c>
      <c r="C173" s="1" t="s">
        <v>178</v>
      </c>
      <c r="D173" s="1" t="s">
        <v>13</v>
      </c>
      <c r="E173" s="1" t="s">
        <v>52</v>
      </c>
      <c r="F173" s="1" t="s">
        <v>50</v>
      </c>
      <c r="G173" s="1" t="s">
        <v>15</v>
      </c>
      <c r="H173" s="1">
        <v>7493</v>
      </c>
      <c r="I173" s="1">
        <v>704</v>
      </c>
      <c r="J173" s="2">
        <v>5275072</v>
      </c>
    </row>
    <row r="174" spans="1:10" ht="15.6" thickTop="1" thickBot="1" x14ac:dyDescent="0.35">
      <c r="A174" s="1" t="s">
        <v>261</v>
      </c>
      <c r="B174" s="1" t="s">
        <v>30</v>
      </c>
      <c r="C174" s="1" t="s">
        <v>146</v>
      </c>
      <c r="D174" s="1" t="s">
        <v>18</v>
      </c>
      <c r="E174" s="1" t="s">
        <v>54</v>
      </c>
      <c r="F174" s="1" t="s">
        <v>20</v>
      </c>
      <c r="G174" s="1" t="s">
        <v>15</v>
      </c>
      <c r="H174" s="1">
        <v>2130</v>
      </c>
      <c r="I174" s="1">
        <v>800</v>
      </c>
      <c r="J174" s="2">
        <v>1704000</v>
      </c>
    </row>
    <row r="175" spans="1:10" ht="15.6" thickTop="1" thickBot="1" x14ac:dyDescent="0.35">
      <c r="A175" s="1" t="s">
        <v>262</v>
      </c>
      <c r="B175" s="1" t="s">
        <v>30</v>
      </c>
      <c r="C175" s="1" t="s">
        <v>146</v>
      </c>
      <c r="D175" s="1" t="s">
        <v>56</v>
      </c>
      <c r="E175" s="1" t="s">
        <v>57</v>
      </c>
      <c r="F175" s="1" t="s">
        <v>58</v>
      </c>
      <c r="G175" s="1" t="s">
        <v>15</v>
      </c>
      <c r="H175" s="1">
        <v>4543</v>
      </c>
      <c r="I175" s="1">
        <v>785</v>
      </c>
      <c r="J175" s="2">
        <v>3566255</v>
      </c>
    </row>
    <row r="176" spans="1:10" ht="15.6" thickTop="1" thickBot="1" x14ac:dyDescent="0.35">
      <c r="A176" s="1" t="s">
        <v>263</v>
      </c>
      <c r="B176" s="1" t="s">
        <v>30</v>
      </c>
      <c r="C176" s="1" t="s">
        <v>146</v>
      </c>
      <c r="D176" s="1" t="s">
        <v>18</v>
      </c>
      <c r="E176" s="1" t="s">
        <v>61</v>
      </c>
      <c r="F176" s="1" t="s">
        <v>20</v>
      </c>
      <c r="G176" s="1" t="s">
        <v>15</v>
      </c>
      <c r="H176" s="1">
        <v>6128</v>
      </c>
      <c r="I176" s="1">
        <v>944</v>
      </c>
      <c r="J176" s="2">
        <v>5784832</v>
      </c>
    </row>
    <row r="177" spans="1:10" ht="15.6" thickTop="1" thickBot="1" x14ac:dyDescent="0.35">
      <c r="A177" s="1" t="s">
        <v>264</v>
      </c>
      <c r="B177" s="1" t="s">
        <v>30</v>
      </c>
      <c r="C177" s="1" t="s">
        <v>146</v>
      </c>
      <c r="D177" s="1" t="s">
        <v>63</v>
      </c>
      <c r="E177" s="1" t="s">
        <v>64</v>
      </c>
      <c r="F177" s="1" t="s">
        <v>64</v>
      </c>
      <c r="G177" s="1" t="s">
        <v>45</v>
      </c>
      <c r="H177" s="1">
        <v>6210</v>
      </c>
      <c r="I177" s="1">
        <v>638</v>
      </c>
      <c r="J177" s="2">
        <v>3961980</v>
      </c>
    </row>
    <row r="178" spans="1:10" ht="15.6" thickTop="1" thickBot="1" x14ac:dyDescent="0.35">
      <c r="A178" s="1" t="s">
        <v>265</v>
      </c>
      <c r="B178" s="1" t="s">
        <v>30</v>
      </c>
      <c r="C178" s="1" t="s">
        <v>146</v>
      </c>
      <c r="D178" s="1" t="s">
        <v>56</v>
      </c>
      <c r="E178" s="1" t="s">
        <v>66</v>
      </c>
      <c r="F178" s="1" t="s">
        <v>58</v>
      </c>
      <c r="G178" s="1" t="s">
        <v>15</v>
      </c>
      <c r="H178" s="1">
        <v>8028</v>
      </c>
      <c r="I178" s="1">
        <v>949</v>
      </c>
      <c r="J178" s="2">
        <v>7618572</v>
      </c>
    </row>
    <row r="179" spans="1:10" ht="15.6" thickTop="1" thickBot="1" x14ac:dyDescent="0.35">
      <c r="A179" s="1" t="s">
        <v>266</v>
      </c>
      <c r="B179" s="1" t="s">
        <v>30</v>
      </c>
      <c r="C179" s="1" t="s">
        <v>146</v>
      </c>
      <c r="D179" s="1" t="s">
        <v>26</v>
      </c>
      <c r="E179" s="1" t="s">
        <v>68</v>
      </c>
      <c r="F179" s="1" t="s">
        <v>69</v>
      </c>
      <c r="G179" s="1" t="s">
        <v>15</v>
      </c>
      <c r="H179" s="1">
        <v>2734</v>
      </c>
      <c r="I179" s="1">
        <v>530</v>
      </c>
      <c r="J179" s="2">
        <v>1449020</v>
      </c>
    </row>
    <row r="180" spans="1:10" ht="15.6" thickTop="1" thickBot="1" x14ac:dyDescent="0.35">
      <c r="A180" s="1" t="s">
        <v>267</v>
      </c>
      <c r="B180" s="1" t="s">
        <v>30</v>
      </c>
      <c r="C180" s="1" t="s">
        <v>146</v>
      </c>
      <c r="D180" s="1" t="s">
        <v>22</v>
      </c>
      <c r="E180" s="1" t="s">
        <v>71</v>
      </c>
      <c r="F180" s="1" t="s">
        <v>72</v>
      </c>
      <c r="G180" s="1" t="s">
        <v>15</v>
      </c>
      <c r="H180" s="1">
        <v>2144</v>
      </c>
      <c r="I180" s="1">
        <v>505</v>
      </c>
      <c r="J180" s="2">
        <v>1082720</v>
      </c>
    </row>
    <row r="181" spans="1:10" ht="15.6" thickTop="1" thickBot="1" x14ac:dyDescent="0.35">
      <c r="A181" s="1" t="s">
        <v>268</v>
      </c>
      <c r="B181" s="1" t="s">
        <v>158</v>
      </c>
      <c r="C181" s="1" t="s">
        <v>159</v>
      </c>
      <c r="D181" s="1" t="s">
        <v>18</v>
      </c>
      <c r="E181" s="1" t="s">
        <v>74</v>
      </c>
      <c r="F181" s="1" t="s">
        <v>39</v>
      </c>
      <c r="G181" s="1" t="s">
        <v>15</v>
      </c>
      <c r="H181" s="1">
        <v>4799</v>
      </c>
      <c r="I181" s="1">
        <v>769</v>
      </c>
      <c r="J181" s="2">
        <v>3690431</v>
      </c>
    </row>
    <row r="182" spans="1:10" ht="15.6" thickTop="1" thickBot="1" x14ac:dyDescent="0.35">
      <c r="A182" s="1" t="s">
        <v>269</v>
      </c>
      <c r="B182" s="1" t="s">
        <v>158</v>
      </c>
      <c r="C182" s="1" t="s">
        <v>159</v>
      </c>
      <c r="D182" s="1" t="s">
        <v>13</v>
      </c>
      <c r="E182" s="1" t="s">
        <v>76</v>
      </c>
      <c r="F182" s="1" t="s">
        <v>50</v>
      </c>
      <c r="G182" s="1" t="s">
        <v>45</v>
      </c>
      <c r="H182" s="1">
        <v>4448</v>
      </c>
      <c r="I182" s="1">
        <v>924</v>
      </c>
      <c r="J182" s="2">
        <v>4109952</v>
      </c>
    </row>
    <row r="183" spans="1:10" ht="15.6" thickTop="1" thickBot="1" x14ac:dyDescent="0.35">
      <c r="A183" s="1" t="s">
        <v>270</v>
      </c>
      <c r="B183" s="1" t="s">
        <v>158</v>
      </c>
      <c r="C183" s="1" t="s">
        <v>159</v>
      </c>
      <c r="D183" s="1" t="s">
        <v>13</v>
      </c>
      <c r="E183" s="1" t="s">
        <v>79</v>
      </c>
      <c r="F183" s="1" t="s">
        <v>50</v>
      </c>
      <c r="G183" s="1" t="s">
        <v>45</v>
      </c>
      <c r="H183" s="1">
        <v>9290</v>
      </c>
      <c r="I183" s="1">
        <v>602</v>
      </c>
      <c r="J183" s="2">
        <v>5592580</v>
      </c>
    </row>
    <row r="184" spans="1:10" ht="15.6" thickTop="1" thickBot="1" x14ac:dyDescent="0.35">
      <c r="A184" s="1" t="s">
        <v>271</v>
      </c>
      <c r="B184" s="1" t="s">
        <v>158</v>
      </c>
      <c r="C184" s="1" t="s">
        <v>159</v>
      </c>
      <c r="D184" s="1" t="s">
        <v>26</v>
      </c>
      <c r="E184" s="1" t="s">
        <v>81</v>
      </c>
      <c r="F184" s="1" t="s">
        <v>28</v>
      </c>
      <c r="G184" s="1" t="s">
        <v>45</v>
      </c>
      <c r="H184" s="1">
        <v>9736</v>
      </c>
      <c r="I184" s="1">
        <v>555</v>
      </c>
      <c r="J184" s="2">
        <v>5403480</v>
      </c>
    </row>
    <row r="185" spans="1:10" ht="15.6" thickTop="1" thickBot="1" x14ac:dyDescent="0.35">
      <c r="A185" s="1" t="s">
        <v>272</v>
      </c>
      <c r="B185" s="1" t="s">
        <v>158</v>
      </c>
      <c r="C185" s="1" t="s">
        <v>159</v>
      </c>
      <c r="D185" s="1" t="s">
        <v>26</v>
      </c>
      <c r="E185" s="1" t="s">
        <v>83</v>
      </c>
      <c r="F185" s="1" t="s">
        <v>28</v>
      </c>
      <c r="G185" s="1" t="s">
        <v>45</v>
      </c>
      <c r="H185" s="1">
        <v>9499</v>
      </c>
      <c r="I185" s="1">
        <v>502</v>
      </c>
      <c r="J185" s="2">
        <v>4768498</v>
      </c>
    </row>
    <row r="186" spans="1:10" ht="15.6" thickTop="1" thickBot="1" x14ac:dyDescent="0.35">
      <c r="A186" s="1" t="s">
        <v>273</v>
      </c>
      <c r="B186" s="1" t="s">
        <v>158</v>
      </c>
      <c r="C186" s="1" t="s">
        <v>159</v>
      </c>
      <c r="D186" s="1" t="s">
        <v>13</v>
      </c>
      <c r="E186" s="1" t="s">
        <v>85</v>
      </c>
      <c r="F186" s="1" t="s">
        <v>44</v>
      </c>
      <c r="G186" s="1" t="s">
        <v>45</v>
      </c>
      <c r="H186" s="1">
        <v>4981</v>
      </c>
      <c r="I186" s="1">
        <v>743</v>
      </c>
      <c r="J186" s="2">
        <v>3700883</v>
      </c>
    </row>
    <row r="187" spans="1:10" ht="15.6" thickTop="1" thickBot="1" x14ac:dyDescent="0.35">
      <c r="A187" s="1" t="s">
        <v>274</v>
      </c>
      <c r="B187" s="1" t="s">
        <v>158</v>
      </c>
      <c r="C187" s="1" t="s">
        <v>159</v>
      </c>
      <c r="D187" s="1" t="s">
        <v>13</v>
      </c>
      <c r="E187" s="1" t="s">
        <v>87</v>
      </c>
      <c r="F187" s="1" t="s">
        <v>50</v>
      </c>
      <c r="G187" s="1" t="s">
        <v>45</v>
      </c>
      <c r="H187" s="1">
        <v>2084</v>
      </c>
      <c r="I187" s="1">
        <v>796</v>
      </c>
      <c r="J187" s="2">
        <v>1658864</v>
      </c>
    </row>
    <row r="188" spans="1:10" ht="15.6" thickTop="1" thickBot="1" x14ac:dyDescent="0.35">
      <c r="A188" s="1" t="s">
        <v>275</v>
      </c>
      <c r="B188" s="1" t="s">
        <v>30</v>
      </c>
      <c r="C188" s="1" t="s">
        <v>133</v>
      </c>
      <c r="D188" s="1" t="s">
        <v>22</v>
      </c>
      <c r="E188" s="1" t="s">
        <v>89</v>
      </c>
      <c r="F188" s="1" t="s">
        <v>90</v>
      </c>
      <c r="G188" s="1" t="s">
        <v>45</v>
      </c>
      <c r="H188" s="1">
        <v>4280</v>
      </c>
      <c r="I188" s="1">
        <v>942</v>
      </c>
      <c r="J188" s="2">
        <v>4031760</v>
      </c>
    </row>
    <row r="189" spans="1:10" ht="15.6" thickTop="1" thickBot="1" x14ac:dyDescent="0.35">
      <c r="A189" s="1" t="s">
        <v>276</v>
      </c>
      <c r="B189" s="1" t="s">
        <v>30</v>
      </c>
      <c r="C189" s="1" t="s">
        <v>133</v>
      </c>
      <c r="D189" s="1" t="s">
        <v>26</v>
      </c>
      <c r="E189" s="1" t="s">
        <v>92</v>
      </c>
      <c r="F189" s="1" t="s">
        <v>93</v>
      </c>
      <c r="G189" s="1" t="s">
        <v>45</v>
      </c>
      <c r="H189" s="1">
        <v>8113</v>
      </c>
      <c r="I189" s="1">
        <v>944</v>
      </c>
      <c r="J189" s="2">
        <v>7658672</v>
      </c>
    </row>
    <row r="190" spans="1:10" ht="15.6" thickTop="1" thickBot="1" x14ac:dyDescent="0.35">
      <c r="A190" s="1" t="s">
        <v>277</v>
      </c>
      <c r="B190" s="1" t="s">
        <v>30</v>
      </c>
      <c r="C190" s="1" t="s">
        <v>133</v>
      </c>
      <c r="D190" s="1" t="s">
        <v>18</v>
      </c>
      <c r="E190" s="1" t="s">
        <v>95</v>
      </c>
      <c r="F190" s="1" t="s">
        <v>20</v>
      </c>
      <c r="G190" s="1" t="s">
        <v>45</v>
      </c>
      <c r="H190" s="1">
        <v>4722</v>
      </c>
      <c r="I190" s="1">
        <v>609</v>
      </c>
      <c r="J190" s="2">
        <v>2875698</v>
      </c>
    </row>
    <row r="191" spans="1:10" ht="15.6" thickTop="1" thickBot="1" x14ac:dyDescent="0.35">
      <c r="A191" s="1" t="s">
        <v>278</v>
      </c>
      <c r="B191" s="1" t="s">
        <v>30</v>
      </c>
      <c r="C191" s="1" t="s">
        <v>133</v>
      </c>
      <c r="D191" s="1" t="s">
        <v>13</v>
      </c>
      <c r="E191" s="1" t="s">
        <v>97</v>
      </c>
      <c r="F191" s="1" t="s">
        <v>98</v>
      </c>
      <c r="G191" s="1" t="s">
        <v>45</v>
      </c>
      <c r="H191" s="1">
        <v>7358</v>
      </c>
      <c r="I191" s="1">
        <v>993</v>
      </c>
      <c r="J191" s="2">
        <v>7306494</v>
      </c>
    </row>
    <row r="192" spans="1:10" ht="15.6" thickTop="1" thickBot="1" x14ac:dyDescent="0.35">
      <c r="A192" s="1" t="s">
        <v>279</v>
      </c>
      <c r="B192" s="1" t="s">
        <v>30</v>
      </c>
      <c r="C192" s="1" t="s">
        <v>133</v>
      </c>
      <c r="D192" s="1" t="s">
        <v>13</v>
      </c>
      <c r="E192" s="1" t="s">
        <v>100</v>
      </c>
      <c r="F192" s="1" t="s">
        <v>101</v>
      </c>
      <c r="G192" s="1" t="s">
        <v>45</v>
      </c>
      <c r="H192" s="1">
        <v>2970</v>
      </c>
      <c r="I192" s="1">
        <v>725</v>
      </c>
      <c r="J192" s="2">
        <v>2153250</v>
      </c>
    </row>
    <row r="193" spans="1:10" ht="15.6" thickTop="1" thickBot="1" x14ac:dyDescent="0.35">
      <c r="A193" s="1" t="s">
        <v>280</v>
      </c>
      <c r="B193" s="1" t="s">
        <v>30</v>
      </c>
      <c r="C193" s="1" t="s">
        <v>146</v>
      </c>
      <c r="D193" s="1" t="s">
        <v>103</v>
      </c>
      <c r="E193" s="1" t="s">
        <v>104</v>
      </c>
      <c r="F193" s="1" t="s">
        <v>105</v>
      </c>
      <c r="G193" s="1" t="s">
        <v>45</v>
      </c>
      <c r="H193" s="1">
        <v>1939</v>
      </c>
      <c r="I193" s="1">
        <v>537</v>
      </c>
      <c r="J193" s="2">
        <v>1041243</v>
      </c>
    </row>
    <row r="194" spans="1:10" ht="15.6" thickTop="1" thickBot="1" x14ac:dyDescent="0.35">
      <c r="A194" s="1" t="s">
        <v>281</v>
      </c>
      <c r="B194" s="1" t="s">
        <v>30</v>
      </c>
      <c r="C194" s="1" t="s">
        <v>146</v>
      </c>
      <c r="D194" s="1" t="s">
        <v>13</v>
      </c>
      <c r="E194" s="1" t="s">
        <v>107</v>
      </c>
      <c r="F194" s="1" t="s">
        <v>108</v>
      </c>
      <c r="G194" s="1" t="s">
        <v>45</v>
      </c>
      <c r="H194" s="1">
        <v>5112</v>
      </c>
      <c r="I194" s="1">
        <v>787</v>
      </c>
      <c r="J194" s="2">
        <v>4023144</v>
      </c>
    </row>
    <row r="195" spans="1:10" ht="15.6" thickTop="1" thickBot="1" x14ac:dyDescent="0.35">
      <c r="A195" s="1" t="s">
        <v>282</v>
      </c>
      <c r="B195" s="1" t="s">
        <v>30</v>
      </c>
      <c r="C195" s="1" t="s">
        <v>146</v>
      </c>
      <c r="D195" s="1" t="s">
        <v>56</v>
      </c>
      <c r="E195" s="1" t="s">
        <v>110</v>
      </c>
      <c r="F195" s="1" t="s">
        <v>111</v>
      </c>
      <c r="G195" s="1" t="s">
        <v>45</v>
      </c>
      <c r="H195" s="1">
        <v>6357</v>
      </c>
      <c r="I195" s="1">
        <v>935</v>
      </c>
      <c r="J195" s="2">
        <v>5943795</v>
      </c>
    </row>
    <row r="196" spans="1:10" ht="15.6" thickTop="1" thickBot="1" x14ac:dyDescent="0.35">
      <c r="A196" s="1" t="s">
        <v>283</v>
      </c>
      <c r="B196" s="1" t="s">
        <v>30</v>
      </c>
      <c r="C196" s="1" t="s">
        <v>146</v>
      </c>
      <c r="D196" s="1" t="s">
        <v>22</v>
      </c>
      <c r="E196" s="1" t="s">
        <v>113</v>
      </c>
      <c r="F196" s="1" t="s">
        <v>24</v>
      </c>
      <c r="G196" s="1" t="s">
        <v>45</v>
      </c>
      <c r="H196" s="1">
        <v>4535</v>
      </c>
      <c r="I196" s="1">
        <v>634</v>
      </c>
      <c r="J196" s="2">
        <v>2875190</v>
      </c>
    </row>
    <row r="197" spans="1:10" ht="15.6" thickTop="1" thickBot="1" x14ac:dyDescent="0.35">
      <c r="A197" s="1" t="s">
        <v>284</v>
      </c>
      <c r="B197" s="1" t="s">
        <v>30</v>
      </c>
      <c r="C197" s="1" t="s">
        <v>146</v>
      </c>
      <c r="D197" s="1" t="s">
        <v>22</v>
      </c>
      <c r="E197" s="1" t="s">
        <v>23</v>
      </c>
      <c r="F197" s="1" t="s">
        <v>24</v>
      </c>
      <c r="G197" s="1" t="s">
        <v>15</v>
      </c>
      <c r="H197" s="1">
        <v>3944</v>
      </c>
      <c r="I197" s="1">
        <v>813</v>
      </c>
      <c r="J197" s="2">
        <v>3206472</v>
      </c>
    </row>
    <row r="198" spans="1:10" ht="15.6" thickTop="1" thickBot="1" x14ac:dyDescent="0.35">
      <c r="A198" s="1" t="s">
        <v>285</v>
      </c>
      <c r="B198" s="1" t="s">
        <v>30</v>
      </c>
      <c r="C198" s="1" t="s">
        <v>146</v>
      </c>
      <c r="D198" s="1" t="s">
        <v>56</v>
      </c>
      <c r="E198" s="1" t="s">
        <v>117</v>
      </c>
      <c r="F198" s="1" t="s">
        <v>58</v>
      </c>
      <c r="G198" s="1" t="s">
        <v>15</v>
      </c>
      <c r="H198" s="1">
        <v>2920</v>
      </c>
      <c r="I198" s="1">
        <v>859</v>
      </c>
      <c r="J198" s="2">
        <v>2508280</v>
      </c>
    </row>
    <row r="199" spans="1:10" ht="15.6" thickTop="1" thickBot="1" x14ac:dyDescent="0.35">
      <c r="A199" s="1" t="s">
        <v>286</v>
      </c>
      <c r="B199" s="1" t="s">
        <v>158</v>
      </c>
      <c r="C199" s="1" t="s">
        <v>178</v>
      </c>
      <c r="D199" s="1" t="s">
        <v>22</v>
      </c>
      <c r="E199" s="1" t="s">
        <v>119</v>
      </c>
      <c r="F199" s="1" t="s">
        <v>90</v>
      </c>
      <c r="G199" s="1" t="s">
        <v>15</v>
      </c>
      <c r="H199" s="1">
        <v>3074</v>
      </c>
      <c r="I199" s="1">
        <v>507</v>
      </c>
      <c r="J199" s="2">
        <v>1558518</v>
      </c>
    </row>
    <row r="200" spans="1:10" ht="15.6" thickTop="1" thickBot="1" x14ac:dyDescent="0.35">
      <c r="A200" s="1" t="s">
        <v>287</v>
      </c>
      <c r="B200" s="1" t="s">
        <v>158</v>
      </c>
      <c r="C200" s="1" t="s">
        <v>178</v>
      </c>
      <c r="D200" s="1" t="s">
        <v>22</v>
      </c>
      <c r="E200" s="1" t="s">
        <v>121</v>
      </c>
      <c r="F200" s="1" t="s">
        <v>24</v>
      </c>
      <c r="G200" s="1" t="s">
        <v>15</v>
      </c>
      <c r="H200" s="1">
        <v>1791</v>
      </c>
      <c r="I200" s="1">
        <v>542</v>
      </c>
      <c r="J200" s="2">
        <v>970722</v>
      </c>
    </row>
    <row r="201" spans="1:10" ht="15.6" thickTop="1" thickBot="1" x14ac:dyDescent="0.35">
      <c r="A201" s="1" t="s">
        <v>288</v>
      </c>
      <c r="B201" s="1" t="s">
        <v>158</v>
      </c>
      <c r="C201" s="1" t="s">
        <v>178</v>
      </c>
      <c r="D201" s="1" t="s">
        <v>26</v>
      </c>
      <c r="E201" s="1" t="s">
        <v>123</v>
      </c>
      <c r="F201" s="1" t="s">
        <v>33</v>
      </c>
      <c r="G201" s="1" t="s">
        <v>15</v>
      </c>
      <c r="H201" s="1">
        <v>4740</v>
      </c>
      <c r="I201" s="1">
        <v>578</v>
      </c>
      <c r="J201" s="2">
        <v>2739720</v>
      </c>
    </row>
    <row r="202" spans="1:10" ht="15.6" thickTop="1" thickBot="1" x14ac:dyDescent="0.35">
      <c r="A202" s="1" t="s">
        <v>289</v>
      </c>
      <c r="B202" s="1" t="s">
        <v>158</v>
      </c>
      <c r="C202" s="1" t="s">
        <v>178</v>
      </c>
      <c r="D202" s="1" t="s">
        <v>22</v>
      </c>
      <c r="E202" s="1" t="s">
        <v>71</v>
      </c>
      <c r="F202" s="1" t="s">
        <v>72</v>
      </c>
      <c r="G202" s="1" t="s">
        <v>45</v>
      </c>
      <c r="H202" s="1">
        <v>2665</v>
      </c>
      <c r="I202" s="1">
        <v>895</v>
      </c>
      <c r="J202" s="2">
        <v>2385175</v>
      </c>
    </row>
    <row r="203" spans="1:10" ht="15.6" thickTop="1" thickBot="1" x14ac:dyDescent="0.35">
      <c r="A203" s="1" t="s">
        <v>290</v>
      </c>
      <c r="B203" s="1" t="s">
        <v>158</v>
      </c>
      <c r="C203" s="1" t="s">
        <v>178</v>
      </c>
      <c r="D203" s="1" t="s">
        <v>18</v>
      </c>
      <c r="E203" s="1" t="s">
        <v>74</v>
      </c>
      <c r="F203" s="1" t="s">
        <v>39</v>
      </c>
      <c r="G203" s="1" t="s">
        <v>45</v>
      </c>
      <c r="H203" s="1">
        <v>5636</v>
      </c>
      <c r="I203" s="1">
        <v>565</v>
      </c>
      <c r="J203" s="2">
        <v>3184340</v>
      </c>
    </row>
    <row r="204" spans="1:10" ht="15.6" thickTop="1" thickBot="1" x14ac:dyDescent="0.35">
      <c r="A204" s="1" t="s">
        <v>291</v>
      </c>
      <c r="B204" s="1" t="s">
        <v>158</v>
      </c>
      <c r="C204" s="1" t="s">
        <v>178</v>
      </c>
      <c r="D204" s="1" t="s">
        <v>13</v>
      </c>
      <c r="E204" s="1" t="s">
        <v>76</v>
      </c>
      <c r="F204" s="1" t="s">
        <v>50</v>
      </c>
      <c r="G204" s="1" t="s">
        <v>45</v>
      </c>
      <c r="H204" s="1">
        <v>5928</v>
      </c>
      <c r="I204" s="1">
        <v>512</v>
      </c>
      <c r="J204" s="2">
        <v>3035136</v>
      </c>
    </row>
    <row r="205" spans="1:10" ht="15.6" thickTop="1" thickBot="1" x14ac:dyDescent="0.35">
      <c r="A205" s="1" t="s">
        <v>292</v>
      </c>
      <c r="B205" s="1" t="s">
        <v>158</v>
      </c>
      <c r="C205" s="1" t="s">
        <v>178</v>
      </c>
      <c r="D205" s="1" t="s">
        <v>13</v>
      </c>
      <c r="E205" s="1" t="s">
        <v>79</v>
      </c>
      <c r="F205" s="1" t="s">
        <v>50</v>
      </c>
      <c r="G205" s="1" t="s">
        <v>45</v>
      </c>
      <c r="H205" s="1">
        <v>9498</v>
      </c>
      <c r="I205" s="1">
        <v>570</v>
      </c>
      <c r="J205" s="2">
        <v>5413860</v>
      </c>
    </row>
    <row r="206" spans="1:10" ht="15.6" thickTop="1" thickBot="1" x14ac:dyDescent="0.35">
      <c r="A206" s="1" t="s">
        <v>293</v>
      </c>
      <c r="B206" s="1" t="s">
        <v>158</v>
      </c>
      <c r="C206" s="1" t="s">
        <v>178</v>
      </c>
      <c r="D206" s="1" t="s">
        <v>26</v>
      </c>
      <c r="E206" s="1" t="s">
        <v>81</v>
      </c>
      <c r="F206" s="1" t="s">
        <v>28</v>
      </c>
      <c r="G206" s="1" t="s">
        <v>45</v>
      </c>
      <c r="H206" s="1">
        <v>9558</v>
      </c>
      <c r="I206" s="1">
        <v>617</v>
      </c>
      <c r="J206" s="2">
        <v>5897286</v>
      </c>
    </row>
    <row r="207" spans="1:10" ht="15.6" thickTop="1" thickBot="1" x14ac:dyDescent="0.35">
      <c r="A207" s="1" t="s">
        <v>294</v>
      </c>
      <c r="B207" s="1" t="s">
        <v>11</v>
      </c>
      <c r="C207" s="1" t="s">
        <v>12</v>
      </c>
      <c r="D207" s="1" t="s">
        <v>26</v>
      </c>
      <c r="E207" s="1" t="s">
        <v>83</v>
      </c>
      <c r="F207" s="1" t="s">
        <v>28</v>
      </c>
      <c r="G207" s="1" t="s">
        <v>45</v>
      </c>
      <c r="H207" s="1">
        <v>2428</v>
      </c>
      <c r="I207" s="1">
        <v>662</v>
      </c>
      <c r="J207" s="2">
        <v>1607336</v>
      </c>
    </row>
    <row r="208" spans="1:10" ht="15.6" thickTop="1" thickBot="1" x14ac:dyDescent="0.35">
      <c r="A208" s="1" t="s">
        <v>295</v>
      </c>
      <c r="B208" s="1" t="s">
        <v>11</v>
      </c>
      <c r="C208" s="1" t="s">
        <v>17</v>
      </c>
      <c r="D208" s="1" t="s">
        <v>13</v>
      </c>
      <c r="E208" s="1" t="s">
        <v>85</v>
      </c>
      <c r="F208" s="1" t="s">
        <v>44</v>
      </c>
      <c r="G208" s="1" t="s">
        <v>45</v>
      </c>
      <c r="H208" s="1">
        <v>7389</v>
      </c>
      <c r="I208" s="1">
        <v>997</v>
      </c>
      <c r="J208" s="2">
        <v>7366833</v>
      </c>
    </row>
    <row r="209" spans="1:10" ht="15.6" thickTop="1" thickBot="1" x14ac:dyDescent="0.35">
      <c r="A209" s="1" t="s">
        <v>296</v>
      </c>
      <c r="B209" s="1" t="s">
        <v>11</v>
      </c>
      <c r="C209" s="1" t="s">
        <v>17</v>
      </c>
      <c r="D209" s="1" t="s">
        <v>13</v>
      </c>
      <c r="E209" s="1" t="s">
        <v>87</v>
      </c>
      <c r="F209" s="1" t="s">
        <v>50</v>
      </c>
      <c r="G209" s="1" t="s">
        <v>15</v>
      </c>
      <c r="H209" s="1">
        <v>3703</v>
      </c>
      <c r="I209" s="1">
        <v>568</v>
      </c>
      <c r="J209" s="2">
        <v>2103304</v>
      </c>
    </row>
    <row r="210" spans="1:10" ht="15.6" thickTop="1" thickBot="1" x14ac:dyDescent="0.35">
      <c r="A210" s="1" t="s">
        <v>297</v>
      </c>
      <c r="B210" s="1" t="s">
        <v>11</v>
      </c>
      <c r="C210" s="1" t="s">
        <v>17</v>
      </c>
      <c r="D210" s="1" t="s">
        <v>22</v>
      </c>
      <c r="E210" s="1" t="s">
        <v>89</v>
      </c>
      <c r="F210" s="1" t="s">
        <v>90</v>
      </c>
      <c r="G210" s="1" t="s">
        <v>15</v>
      </c>
      <c r="H210" s="1">
        <v>6133</v>
      </c>
      <c r="I210" s="1">
        <v>505</v>
      </c>
      <c r="J210" s="2">
        <v>3097165</v>
      </c>
    </row>
    <row r="211" spans="1:10" ht="15.6" thickTop="1" thickBot="1" x14ac:dyDescent="0.35">
      <c r="A211" s="1" t="s">
        <v>298</v>
      </c>
      <c r="B211" s="1" t="s">
        <v>30</v>
      </c>
      <c r="C211" s="1" t="s">
        <v>31</v>
      </c>
      <c r="D211" s="1" t="s">
        <v>26</v>
      </c>
      <c r="E211" s="1" t="s">
        <v>92</v>
      </c>
      <c r="F211" s="1" t="s">
        <v>93</v>
      </c>
      <c r="G211" s="1" t="s">
        <v>15</v>
      </c>
      <c r="H211" s="1">
        <v>7380</v>
      </c>
      <c r="I211" s="1">
        <v>794</v>
      </c>
      <c r="J211" s="2">
        <v>5859720</v>
      </c>
    </row>
    <row r="212" spans="1:10" ht="15.6" thickTop="1" thickBot="1" x14ac:dyDescent="0.35">
      <c r="A212" s="1" t="s">
        <v>299</v>
      </c>
      <c r="B212" s="1" t="s">
        <v>30</v>
      </c>
      <c r="C212" s="1" t="s">
        <v>31</v>
      </c>
      <c r="D212" s="1" t="s">
        <v>18</v>
      </c>
      <c r="E212" s="1" t="s">
        <v>95</v>
      </c>
      <c r="F212" s="1" t="s">
        <v>20</v>
      </c>
      <c r="G212" s="1" t="s">
        <v>15</v>
      </c>
      <c r="H212" s="1">
        <v>2440</v>
      </c>
      <c r="I212" s="1">
        <v>815</v>
      </c>
      <c r="J212" s="2">
        <v>1988600</v>
      </c>
    </row>
    <row r="213" spans="1:10" ht="15.6" thickTop="1" thickBot="1" x14ac:dyDescent="0.35">
      <c r="A213" s="1" t="s">
        <v>300</v>
      </c>
      <c r="B213" s="1" t="s">
        <v>30</v>
      </c>
      <c r="C213" s="1" t="s">
        <v>31</v>
      </c>
      <c r="D213" s="1" t="s">
        <v>13</v>
      </c>
      <c r="E213" s="1" t="s">
        <v>97</v>
      </c>
      <c r="F213" s="1" t="s">
        <v>98</v>
      </c>
      <c r="G213" s="1" t="s">
        <v>45</v>
      </c>
      <c r="H213" s="1">
        <v>4296</v>
      </c>
      <c r="I213" s="1">
        <v>960</v>
      </c>
      <c r="J213" s="2">
        <v>4124160</v>
      </c>
    </row>
    <row r="214" spans="1:10" ht="15.6" thickTop="1" thickBot="1" x14ac:dyDescent="0.35">
      <c r="A214" s="1" t="s">
        <v>301</v>
      </c>
      <c r="B214" s="1" t="s">
        <v>30</v>
      </c>
      <c r="C214" s="1" t="s">
        <v>31</v>
      </c>
      <c r="D214" s="1" t="s">
        <v>13</v>
      </c>
      <c r="E214" s="1" t="s">
        <v>100</v>
      </c>
      <c r="F214" s="1" t="s">
        <v>101</v>
      </c>
      <c r="G214" s="1" t="s">
        <v>15</v>
      </c>
      <c r="H214" s="1">
        <v>9072</v>
      </c>
      <c r="I214" s="1">
        <v>735</v>
      </c>
      <c r="J214" s="2">
        <v>6667920</v>
      </c>
    </row>
    <row r="215" spans="1:10" ht="15.6" thickTop="1" thickBot="1" x14ac:dyDescent="0.35">
      <c r="A215" s="1" t="s">
        <v>302</v>
      </c>
      <c r="B215" s="1" t="s">
        <v>11</v>
      </c>
      <c r="C215" s="1" t="s">
        <v>12</v>
      </c>
      <c r="D215" s="1" t="s">
        <v>103</v>
      </c>
      <c r="E215" s="1" t="s">
        <v>104</v>
      </c>
      <c r="F215" s="1" t="s">
        <v>105</v>
      </c>
      <c r="G215" s="1" t="s">
        <v>15</v>
      </c>
      <c r="H215" s="1">
        <v>6331</v>
      </c>
      <c r="I215" s="1">
        <v>573</v>
      </c>
      <c r="J215" s="2">
        <v>3627663</v>
      </c>
    </row>
    <row r="216" spans="1:10" ht="15.6" thickTop="1" thickBot="1" x14ac:dyDescent="0.35">
      <c r="A216" s="1" t="s">
        <v>303</v>
      </c>
      <c r="B216" s="1" t="s">
        <v>11</v>
      </c>
      <c r="C216" s="1" t="s">
        <v>12</v>
      </c>
      <c r="D216" s="1" t="s">
        <v>13</v>
      </c>
      <c r="E216" s="1" t="s">
        <v>107</v>
      </c>
      <c r="F216" s="1" t="s">
        <v>108</v>
      </c>
      <c r="G216" s="1" t="s">
        <v>15</v>
      </c>
      <c r="H216" s="1">
        <v>5511</v>
      </c>
      <c r="I216" s="1">
        <v>832</v>
      </c>
      <c r="J216" s="2">
        <v>4585152</v>
      </c>
    </row>
    <row r="217" spans="1:10" ht="15.6" thickTop="1" thickBot="1" x14ac:dyDescent="0.35">
      <c r="A217" s="1" t="s">
        <v>304</v>
      </c>
      <c r="B217" s="1" t="s">
        <v>11</v>
      </c>
      <c r="C217" s="1" t="s">
        <v>12</v>
      </c>
      <c r="D217" s="1" t="s">
        <v>56</v>
      </c>
      <c r="E217" s="1" t="s">
        <v>110</v>
      </c>
      <c r="F217" s="1" t="s">
        <v>111</v>
      </c>
      <c r="G217" s="1" t="s">
        <v>15</v>
      </c>
      <c r="H217" s="1">
        <v>7070</v>
      </c>
      <c r="I217" s="1">
        <v>896</v>
      </c>
      <c r="J217" s="2">
        <v>6334720</v>
      </c>
    </row>
    <row r="218" spans="1:10" ht="15.6" thickTop="1" thickBot="1" x14ac:dyDescent="0.35">
      <c r="A218" s="1" t="s">
        <v>305</v>
      </c>
      <c r="B218" s="1" t="s">
        <v>11</v>
      </c>
      <c r="C218" s="1" t="s">
        <v>12</v>
      </c>
      <c r="D218" s="1" t="s">
        <v>22</v>
      </c>
      <c r="E218" s="1" t="s">
        <v>113</v>
      </c>
      <c r="F218" s="1" t="s">
        <v>24</v>
      </c>
      <c r="G218" s="1" t="s">
        <v>45</v>
      </c>
      <c r="H218" s="1">
        <v>4761</v>
      </c>
      <c r="I218" s="1">
        <v>819</v>
      </c>
      <c r="J218" s="2">
        <v>3899259</v>
      </c>
    </row>
    <row r="219" spans="1:10" ht="15.6" thickTop="1" thickBot="1" x14ac:dyDescent="0.35">
      <c r="A219" s="1" t="s">
        <v>306</v>
      </c>
      <c r="B219" s="1" t="s">
        <v>11</v>
      </c>
      <c r="C219" s="1" t="s">
        <v>12</v>
      </c>
      <c r="D219" s="1" t="s">
        <v>22</v>
      </c>
      <c r="E219" s="1" t="s">
        <v>23</v>
      </c>
      <c r="F219" s="1" t="s">
        <v>24</v>
      </c>
      <c r="G219" s="1" t="s">
        <v>45</v>
      </c>
      <c r="H219" s="1">
        <v>8127</v>
      </c>
      <c r="I219" s="1">
        <v>956</v>
      </c>
      <c r="J219" s="2">
        <v>7769412</v>
      </c>
    </row>
    <row r="220" spans="1:10" ht="15.6" thickTop="1" thickBot="1" x14ac:dyDescent="0.35">
      <c r="A220" s="1" t="s">
        <v>307</v>
      </c>
      <c r="B220" s="1" t="s">
        <v>11</v>
      </c>
      <c r="C220" s="1" t="s">
        <v>12</v>
      </c>
      <c r="D220" s="1" t="s">
        <v>56</v>
      </c>
      <c r="E220" s="1" t="s">
        <v>117</v>
      </c>
      <c r="F220" s="1" t="s">
        <v>58</v>
      </c>
      <c r="G220" s="1" t="s">
        <v>45</v>
      </c>
      <c r="H220" s="1">
        <v>7794</v>
      </c>
      <c r="I220" s="1">
        <v>527</v>
      </c>
      <c r="J220" s="2">
        <v>4107438</v>
      </c>
    </row>
    <row r="221" spans="1:10" ht="15.6" thickTop="1" thickBot="1" x14ac:dyDescent="0.35">
      <c r="A221" s="1" t="s">
        <v>308</v>
      </c>
      <c r="B221" s="1" t="s">
        <v>30</v>
      </c>
      <c r="C221" s="1" t="s">
        <v>60</v>
      </c>
      <c r="D221" s="1" t="s">
        <v>22</v>
      </c>
      <c r="E221" s="1" t="s">
        <v>119</v>
      </c>
      <c r="F221" s="1" t="s">
        <v>90</v>
      </c>
      <c r="G221" s="1" t="s">
        <v>45</v>
      </c>
      <c r="H221" s="1">
        <v>7427</v>
      </c>
      <c r="I221" s="1">
        <v>604</v>
      </c>
      <c r="J221" s="2">
        <v>4485908</v>
      </c>
    </row>
    <row r="222" spans="1:10" ht="15.6" thickTop="1" thickBot="1" x14ac:dyDescent="0.35">
      <c r="A222" s="1" t="s">
        <v>309</v>
      </c>
      <c r="B222" s="1" t="s">
        <v>30</v>
      </c>
      <c r="C222" s="1" t="s">
        <v>60</v>
      </c>
      <c r="D222" s="1" t="s">
        <v>22</v>
      </c>
      <c r="E222" s="1" t="s">
        <v>121</v>
      </c>
      <c r="F222" s="1" t="s">
        <v>24</v>
      </c>
      <c r="G222" s="1" t="s">
        <v>45</v>
      </c>
      <c r="H222" s="1">
        <v>1929</v>
      </c>
      <c r="I222" s="1">
        <v>567</v>
      </c>
      <c r="J222" s="2">
        <v>1093743</v>
      </c>
    </row>
    <row r="223" spans="1:10" ht="15.6" thickTop="1" thickBot="1" x14ac:dyDescent="0.35">
      <c r="A223" s="1" t="s">
        <v>310</v>
      </c>
      <c r="B223" s="1" t="s">
        <v>30</v>
      </c>
      <c r="C223" s="1" t="s">
        <v>60</v>
      </c>
      <c r="D223" s="1" t="s">
        <v>26</v>
      </c>
      <c r="E223" s="1" t="s">
        <v>123</v>
      </c>
      <c r="F223" s="1" t="s">
        <v>33</v>
      </c>
      <c r="G223" s="1" t="s">
        <v>45</v>
      </c>
      <c r="H223" s="1">
        <v>5142</v>
      </c>
      <c r="I223" s="1">
        <v>514</v>
      </c>
      <c r="J223" s="2">
        <v>2642988</v>
      </c>
    </row>
    <row r="224" spans="1:10" ht="15.6" thickTop="1" thickBot="1" x14ac:dyDescent="0.35">
      <c r="A224" s="1" t="s">
        <v>311</v>
      </c>
      <c r="B224" s="1" t="s">
        <v>30</v>
      </c>
      <c r="C224" s="1" t="s">
        <v>60</v>
      </c>
      <c r="D224" s="1" t="s">
        <v>13</v>
      </c>
      <c r="E224" s="1" t="s">
        <v>14</v>
      </c>
      <c r="F224" s="1" t="s">
        <v>14</v>
      </c>
      <c r="G224" s="1" t="s">
        <v>45</v>
      </c>
      <c r="H224" s="1">
        <v>6102</v>
      </c>
      <c r="I224" s="1">
        <v>990</v>
      </c>
      <c r="J224" s="2">
        <v>6040980</v>
      </c>
    </row>
    <row r="225" spans="1:10" ht="15.6" thickTop="1" thickBot="1" x14ac:dyDescent="0.35">
      <c r="A225" s="1" t="s">
        <v>312</v>
      </c>
      <c r="B225" s="1" t="s">
        <v>30</v>
      </c>
      <c r="C225" s="1" t="s">
        <v>60</v>
      </c>
      <c r="D225" s="1" t="s">
        <v>18</v>
      </c>
      <c r="E225" s="1" t="s">
        <v>19</v>
      </c>
      <c r="F225" s="1" t="s">
        <v>20</v>
      </c>
      <c r="G225" s="1" t="s">
        <v>45</v>
      </c>
      <c r="H225" s="1">
        <v>8613</v>
      </c>
      <c r="I225" s="1">
        <v>796</v>
      </c>
      <c r="J225" s="2">
        <v>6855948</v>
      </c>
    </row>
    <row r="226" spans="1:10" ht="15.6" thickTop="1" thickBot="1" x14ac:dyDescent="0.35">
      <c r="A226" s="1" t="s">
        <v>313</v>
      </c>
      <c r="B226" s="1" t="s">
        <v>30</v>
      </c>
      <c r="C226" s="1" t="s">
        <v>60</v>
      </c>
      <c r="D226" s="1" t="s">
        <v>22</v>
      </c>
      <c r="E226" s="1" t="s">
        <v>23</v>
      </c>
      <c r="F226" s="1" t="s">
        <v>24</v>
      </c>
      <c r="G226" s="1" t="s">
        <v>45</v>
      </c>
      <c r="H226" s="1">
        <v>1735</v>
      </c>
      <c r="I226" s="1">
        <v>717</v>
      </c>
      <c r="J226" s="2">
        <v>1243995</v>
      </c>
    </row>
    <row r="227" spans="1:10" ht="15.6" thickTop="1" thickBot="1" x14ac:dyDescent="0.35">
      <c r="A227" s="1" t="s">
        <v>314</v>
      </c>
      <c r="B227" s="1" t="s">
        <v>30</v>
      </c>
      <c r="C227" s="1" t="s">
        <v>60</v>
      </c>
      <c r="D227" s="1" t="s">
        <v>26</v>
      </c>
      <c r="E227" s="1" t="s">
        <v>27</v>
      </c>
      <c r="F227" s="1" t="s">
        <v>28</v>
      </c>
      <c r="G227" s="1" t="s">
        <v>45</v>
      </c>
      <c r="H227" s="1">
        <v>4013</v>
      </c>
      <c r="I227" s="1">
        <v>818</v>
      </c>
      <c r="J227" s="2">
        <v>3282634</v>
      </c>
    </row>
    <row r="228" spans="1:10" ht="15.6" thickTop="1" thickBot="1" x14ac:dyDescent="0.35">
      <c r="A228" s="1" t="s">
        <v>315</v>
      </c>
      <c r="B228" s="1" t="s">
        <v>11</v>
      </c>
      <c r="C228" s="1" t="s">
        <v>78</v>
      </c>
      <c r="D228" s="1" t="s">
        <v>26</v>
      </c>
      <c r="E228" s="1" t="s">
        <v>32</v>
      </c>
      <c r="F228" s="1" t="s">
        <v>33</v>
      </c>
      <c r="G228" s="1" t="s">
        <v>15</v>
      </c>
      <c r="H228" s="1">
        <v>1882</v>
      </c>
      <c r="I228" s="1">
        <v>560</v>
      </c>
      <c r="J228" s="2">
        <v>1053920</v>
      </c>
    </row>
    <row r="229" spans="1:10" ht="15.6" thickTop="1" thickBot="1" x14ac:dyDescent="0.35">
      <c r="A229" s="1" t="s">
        <v>316</v>
      </c>
      <c r="B229" s="1" t="s">
        <v>11</v>
      </c>
      <c r="C229" s="1" t="s">
        <v>78</v>
      </c>
      <c r="D229" s="1" t="s">
        <v>26</v>
      </c>
      <c r="E229" s="1" t="s">
        <v>35</v>
      </c>
      <c r="F229" s="1" t="s">
        <v>36</v>
      </c>
      <c r="G229" s="1" t="s">
        <v>15</v>
      </c>
      <c r="H229" s="1">
        <v>3794</v>
      </c>
      <c r="I229" s="1">
        <v>734</v>
      </c>
      <c r="J229" s="2">
        <v>2784796</v>
      </c>
    </row>
    <row r="230" spans="1:10" ht="15.6" thickTop="1" thickBot="1" x14ac:dyDescent="0.35">
      <c r="A230" s="1" t="s">
        <v>317</v>
      </c>
      <c r="B230" s="1" t="s">
        <v>11</v>
      </c>
      <c r="C230" s="1" t="s">
        <v>78</v>
      </c>
      <c r="D230" s="1" t="s">
        <v>18</v>
      </c>
      <c r="E230" s="1" t="s">
        <v>38</v>
      </c>
      <c r="F230" s="1" t="s">
        <v>39</v>
      </c>
      <c r="G230" s="1" t="s">
        <v>15</v>
      </c>
      <c r="H230" s="1">
        <v>2105</v>
      </c>
      <c r="I230" s="1">
        <v>981</v>
      </c>
      <c r="J230" s="2">
        <v>2065005</v>
      </c>
    </row>
    <row r="231" spans="1:10" ht="15.6" thickTop="1" thickBot="1" x14ac:dyDescent="0.35">
      <c r="A231" s="1" t="s">
        <v>318</v>
      </c>
      <c r="B231" s="1" t="s">
        <v>11</v>
      </c>
      <c r="C231" s="1" t="s">
        <v>78</v>
      </c>
      <c r="D231" s="1" t="s">
        <v>18</v>
      </c>
      <c r="E231" s="1" t="s">
        <v>41</v>
      </c>
      <c r="F231" s="1" t="s">
        <v>20</v>
      </c>
      <c r="G231" s="1" t="s">
        <v>15</v>
      </c>
      <c r="H231" s="1">
        <v>7654</v>
      </c>
      <c r="I231" s="1">
        <v>881</v>
      </c>
      <c r="J231" s="2">
        <v>6743174</v>
      </c>
    </row>
    <row r="232" spans="1:10" ht="15.6" thickTop="1" thickBot="1" x14ac:dyDescent="0.35">
      <c r="A232" s="1" t="s">
        <v>319</v>
      </c>
      <c r="B232" s="1" t="s">
        <v>11</v>
      </c>
      <c r="C232" s="1" t="s">
        <v>78</v>
      </c>
      <c r="D232" s="1" t="s">
        <v>13</v>
      </c>
      <c r="E232" s="1" t="s">
        <v>43</v>
      </c>
      <c r="F232" s="1" t="s">
        <v>44</v>
      </c>
      <c r="G232" s="1" t="s">
        <v>15</v>
      </c>
      <c r="H232" s="1">
        <v>9045</v>
      </c>
      <c r="I232" s="1">
        <v>544</v>
      </c>
      <c r="J232" s="2">
        <v>4920480</v>
      </c>
    </row>
    <row r="233" spans="1:10" ht="15.6" thickTop="1" thickBot="1" x14ac:dyDescent="0.35">
      <c r="A233" s="1" t="s">
        <v>320</v>
      </c>
      <c r="B233" s="1" t="s">
        <v>11</v>
      </c>
      <c r="C233" s="1" t="s">
        <v>78</v>
      </c>
      <c r="D233" s="1" t="s">
        <v>18</v>
      </c>
      <c r="E233" s="1" t="s">
        <v>47</v>
      </c>
      <c r="F233" s="1" t="s">
        <v>39</v>
      </c>
      <c r="G233" s="1" t="s">
        <v>45</v>
      </c>
      <c r="H233" s="1">
        <v>2088</v>
      </c>
      <c r="I233" s="1">
        <v>678</v>
      </c>
      <c r="J233" s="2">
        <v>1415664</v>
      </c>
    </row>
    <row r="234" spans="1:10" ht="15.6" thickTop="1" thickBot="1" x14ac:dyDescent="0.35">
      <c r="A234" s="1" t="s">
        <v>321</v>
      </c>
      <c r="B234" s="1" t="s">
        <v>11</v>
      </c>
      <c r="C234" s="1" t="s">
        <v>78</v>
      </c>
      <c r="D234" s="1" t="s">
        <v>13</v>
      </c>
      <c r="E234" s="1" t="s">
        <v>49</v>
      </c>
      <c r="F234" s="1" t="s">
        <v>50</v>
      </c>
      <c r="G234" s="1" t="s">
        <v>45</v>
      </c>
      <c r="H234" s="1">
        <v>3793</v>
      </c>
      <c r="I234" s="1">
        <v>657</v>
      </c>
      <c r="J234" s="2">
        <v>2492001</v>
      </c>
    </row>
    <row r="235" spans="1:10" ht="15.6" thickTop="1" thickBot="1" x14ac:dyDescent="0.35">
      <c r="A235" s="1" t="s">
        <v>322</v>
      </c>
      <c r="B235" s="1" t="s">
        <v>11</v>
      </c>
      <c r="C235" s="1" t="s">
        <v>78</v>
      </c>
      <c r="D235" s="1" t="s">
        <v>13</v>
      </c>
      <c r="E235" s="1" t="s">
        <v>52</v>
      </c>
      <c r="F235" s="1" t="s">
        <v>50</v>
      </c>
      <c r="G235" s="1" t="s">
        <v>45</v>
      </c>
      <c r="H235" s="1">
        <v>6566</v>
      </c>
      <c r="I235" s="1">
        <v>674</v>
      </c>
      <c r="J235" s="2">
        <v>4425484</v>
      </c>
    </row>
    <row r="236" spans="1:10" ht="15.6" thickTop="1" thickBot="1" x14ac:dyDescent="0.35">
      <c r="A236" s="1" t="s">
        <v>323</v>
      </c>
      <c r="B236" s="1" t="s">
        <v>11</v>
      </c>
      <c r="C236" s="1" t="s">
        <v>78</v>
      </c>
      <c r="D236" s="1" t="s">
        <v>18</v>
      </c>
      <c r="E236" s="1" t="s">
        <v>54</v>
      </c>
      <c r="F236" s="1" t="s">
        <v>20</v>
      </c>
      <c r="G236" s="1" t="s">
        <v>15</v>
      </c>
      <c r="H236" s="1">
        <v>5152</v>
      </c>
      <c r="I236" s="1">
        <v>760</v>
      </c>
      <c r="J236" s="2">
        <v>3915520</v>
      </c>
    </row>
    <row r="237" spans="1:10" ht="15.6" thickTop="1" thickBot="1" x14ac:dyDescent="0.35">
      <c r="A237" s="1" t="s">
        <v>324</v>
      </c>
      <c r="B237" s="1" t="s">
        <v>11</v>
      </c>
      <c r="C237" s="1" t="s">
        <v>78</v>
      </c>
      <c r="D237" s="1" t="s">
        <v>56</v>
      </c>
      <c r="E237" s="1" t="s">
        <v>57</v>
      </c>
      <c r="F237" s="1" t="s">
        <v>58</v>
      </c>
      <c r="G237" s="1" t="s">
        <v>15</v>
      </c>
      <c r="H237" s="1">
        <v>2714</v>
      </c>
      <c r="I237" s="1">
        <v>607</v>
      </c>
      <c r="J237" s="2">
        <v>1647398</v>
      </c>
    </row>
    <row r="238" spans="1:10" ht="15.6" thickTop="1" thickBot="1" x14ac:dyDescent="0.35">
      <c r="A238" s="1" t="s">
        <v>325</v>
      </c>
      <c r="B238" s="1" t="s">
        <v>11</v>
      </c>
      <c r="C238" s="1" t="s">
        <v>78</v>
      </c>
      <c r="D238" s="1" t="s">
        <v>18</v>
      </c>
      <c r="E238" s="1" t="s">
        <v>61</v>
      </c>
      <c r="F238" s="1" t="s">
        <v>20</v>
      </c>
      <c r="G238" s="1" t="s">
        <v>15</v>
      </c>
      <c r="H238" s="1">
        <v>7249</v>
      </c>
      <c r="I238" s="1">
        <v>645</v>
      </c>
      <c r="J238" s="2">
        <v>4675605</v>
      </c>
    </row>
    <row r="239" spans="1:10" ht="15.6" thickTop="1" thickBot="1" x14ac:dyDescent="0.35">
      <c r="A239" s="1" t="s">
        <v>326</v>
      </c>
      <c r="B239" s="1" t="s">
        <v>11</v>
      </c>
      <c r="C239" s="1" t="s">
        <v>78</v>
      </c>
      <c r="D239" s="1" t="s">
        <v>63</v>
      </c>
      <c r="E239" s="1" t="s">
        <v>64</v>
      </c>
      <c r="F239" s="1" t="s">
        <v>64</v>
      </c>
      <c r="G239" s="1" t="s">
        <v>15</v>
      </c>
      <c r="H239" s="1">
        <v>7924</v>
      </c>
      <c r="I239" s="1">
        <v>855</v>
      </c>
      <c r="J239" s="2">
        <v>6775020</v>
      </c>
    </row>
    <row r="240" spans="1:10" ht="15.6" thickTop="1" thickBot="1" x14ac:dyDescent="0.35">
      <c r="A240" s="1" t="s">
        <v>327</v>
      </c>
      <c r="B240" s="1" t="s">
        <v>11</v>
      </c>
      <c r="C240" s="1" t="s">
        <v>78</v>
      </c>
      <c r="D240" s="1" t="s">
        <v>56</v>
      </c>
      <c r="E240" s="1" t="s">
        <v>66</v>
      </c>
      <c r="F240" s="1" t="s">
        <v>58</v>
      </c>
      <c r="G240" s="1" t="s">
        <v>15</v>
      </c>
      <c r="H240" s="1">
        <v>6728</v>
      </c>
      <c r="I240" s="1">
        <v>701</v>
      </c>
      <c r="J240" s="2">
        <v>4716328</v>
      </c>
    </row>
    <row r="241" spans="1:10" ht="15.6" thickTop="1" thickBot="1" x14ac:dyDescent="0.35">
      <c r="A241" s="1" t="s">
        <v>328</v>
      </c>
      <c r="B241" s="1" t="s">
        <v>11</v>
      </c>
      <c r="C241" s="1" t="s">
        <v>78</v>
      </c>
      <c r="D241" s="1" t="s">
        <v>26</v>
      </c>
      <c r="E241" s="1" t="s">
        <v>68</v>
      </c>
      <c r="F241" s="1" t="s">
        <v>69</v>
      </c>
      <c r="G241" s="1" t="s">
        <v>45</v>
      </c>
      <c r="H241" s="1">
        <v>6384</v>
      </c>
      <c r="I241" s="1">
        <v>575</v>
      </c>
      <c r="J241" s="2">
        <v>3670800</v>
      </c>
    </row>
    <row r="242" spans="1:10" ht="15.6" thickTop="1" thickBot="1" x14ac:dyDescent="0.35">
      <c r="A242" s="1" t="s">
        <v>329</v>
      </c>
      <c r="B242" s="1" t="s">
        <v>11</v>
      </c>
      <c r="C242" s="1" t="s">
        <v>78</v>
      </c>
      <c r="D242" s="1" t="s">
        <v>22</v>
      </c>
      <c r="E242" s="1" t="s">
        <v>71</v>
      </c>
      <c r="F242" s="1" t="s">
        <v>72</v>
      </c>
      <c r="G242" s="1" t="s">
        <v>45</v>
      </c>
      <c r="H242" s="1">
        <v>3372</v>
      </c>
      <c r="I242" s="1">
        <v>533</v>
      </c>
      <c r="J242" s="2">
        <v>1797276</v>
      </c>
    </row>
    <row r="243" spans="1:10" ht="15.6" thickTop="1" thickBot="1" x14ac:dyDescent="0.35">
      <c r="A243" s="1" t="s">
        <v>330</v>
      </c>
      <c r="B243" s="1" t="s">
        <v>11</v>
      </c>
      <c r="C243" s="1" t="s">
        <v>116</v>
      </c>
      <c r="D243" s="1" t="s">
        <v>18</v>
      </c>
      <c r="E243" s="1" t="s">
        <v>74</v>
      </c>
      <c r="F243" s="1" t="s">
        <v>39</v>
      </c>
      <c r="G243" s="1" t="s">
        <v>45</v>
      </c>
      <c r="H243" s="1">
        <v>1817</v>
      </c>
      <c r="I243" s="1">
        <v>615</v>
      </c>
      <c r="J243" s="2">
        <v>1117455</v>
      </c>
    </row>
    <row r="244" spans="1:10" ht="15.6" thickTop="1" thickBot="1" x14ac:dyDescent="0.35">
      <c r="A244" s="1" t="s">
        <v>331</v>
      </c>
      <c r="B244" s="1" t="s">
        <v>11</v>
      </c>
      <c r="C244" s="1" t="s">
        <v>116</v>
      </c>
      <c r="D244" s="1" t="s">
        <v>13</v>
      </c>
      <c r="E244" s="1" t="s">
        <v>76</v>
      </c>
      <c r="F244" s="1" t="s">
        <v>50</v>
      </c>
      <c r="G244" s="1" t="s">
        <v>45</v>
      </c>
      <c r="H244" s="1">
        <v>3910</v>
      </c>
      <c r="I244" s="1">
        <v>521</v>
      </c>
      <c r="J244" s="2">
        <v>2037110</v>
      </c>
    </row>
    <row r="245" spans="1:10" ht="15.6" thickTop="1" thickBot="1" x14ac:dyDescent="0.35">
      <c r="A245" s="1" t="s">
        <v>332</v>
      </c>
      <c r="B245" s="1" t="s">
        <v>11</v>
      </c>
      <c r="C245" s="1" t="s">
        <v>116</v>
      </c>
      <c r="D245" s="1" t="s">
        <v>13</v>
      </c>
      <c r="E245" s="1" t="s">
        <v>79</v>
      </c>
      <c r="F245" s="1" t="s">
        <v>50</v>
      </c>
      <c r="G245" s="1" t="s">
        <v>45</v>
      </c>
      <c r="H245" s="1">
        <v>9238</v>
      </c>
      <c r="I245" s="1">
        <v>630</v>
      </c>
      <c r="J245" s="2">
        <v>5819940</v>
      </c>
    </row>
    <row r="246" spans="1:10" ht="15.6" thickTop="1" thickBot="1" x14ac:dyDescent="0.35">
      <c r="A246" s="1" t="s">
        <v>333</v>
      </c>
      <c r="B246" s="1" t="s">
        <v>11</v>
      </c>
      <c r="C246" s="1" t="s">
        <v>116</v>
      </c>
      <c r="D246" s="1" t="s">
        <v>26</v>
      </c>
      <c r="E246" s="1" t="s">
        <v>81</v>
      </c>
      <c r="F246" s="1" t="s">
        <v>28</v>
      </c>
      <c r="G246" s="1" t="s">
        <v>45</v>
      </c>
      <c r="H246" s="1">
        <v>8891</v>
      </c>
      <c r="I246" s="1">
        <v>500</v>
      </c>
      <c r="J246" s="2">
        <v>4445500</v>
      </c>
    </row>
    <row r="247" spans="1:10" ht="15.6" thickTop="1" thickBot="1" x14ac:dyDescent="0.35">
      <c r="A247" s="1" t="s">
        <v>334</v>
      </c>
      <c r="B247" s="1" t="s">
        <v>11</v>
      </c>
      <c r="C247" s="1" t="s">
        <v>116</v>
      </c>
      <c r="D247" s="1" t="s">
        <v>26</v>
      </c>
      <c r="E247" s="1" t="s">
        <v>83</v>
      </c>
      <c r="F247" s="1" t="s">
        <v>28</v>
      </c>
      <c r="G247" s="1" t="s">
        <v>45</v>
      </c>
      <c r="H247" s="1">
        <v>5367</v>
      </c>
      <c r="I247" s="1">
        <v>606</v>
      </c>
      <c r="J247" s="2">
        <v>3252402</v>
      </c>
    </row>
    <row r="248" spans="1:10" ht="15.6" thickTop="1" thickBot="1" x14ac:dyDescent="0.35">
      <c r="A248" s="1" t="s">
        <v>335</v>
      </c>
      <c r="B248" s="1" t="s">
        <v>11</v>
      </c>
      <c r="C248" s="1" t="s">
        <v>116</v>
      </c>
      <c r="D248" s="1" t="s">
        <v>13</v>
      </c>
      <c r="E248" s="1" t="s">
        <v>85</v>
      </c>
      <c r="F248" s="1" t="s">
        <v>44</v>
      </c>
      <c r="G248" s="1" t="s">
        <v>15</v>
      </c>
      <c r="H248" s="1">
        <v>5733</v>
      </c>
      <c r="I248" s="1">
        <v>582</v>
      </c>
      <c r="J248" s="2">
        <v>3336606</v>
      </c>
    </row>
    <row r="249" spans="1:10" ht="15.6" thickTop="1" thickBot="1" x14ac:dyDescent="0.35">
      <c r="A249" s="1" t="s">
        <v>336</v>
      </c>
      <c r="B249" s="1" t="s">
        <v>11</v>
      </c>
      <c r="C249" s="1" t="s">
        <v>116</v>
      </c>
      <c r="D249" s="1" t="s">
        <v>13</v>
      </c>
      <c r="E249" s="1" t="s">
        <v>87</v>
      </c>
      <c r="F249" s="1" t="s">
        <v>50</v>
      </c>
      <c r="G249" s="1" t="s">
        <v>15</v>
      </c>
      <c r="H249" s="1">
        <v>6120</v>
      </c>
      <c r="I249" s="1">
        <v>647</v>
      </c>
      <c r="J249" s="2">
        <v>3959640</v>
      </c>
    </row>
    <row r="250" spans="1:10" ht="15.6" thickTop="1" thickBot="1" x14ac:dyDescent="0.35">
      <c r="A250" s="1" t="s">
        <v>337</v>
      </c>
      <c r="B250" s="1" t="s">
        <v>11</v>
      </c>
      <c r="C250" s="1" t="s">
        <v>116</v>
      </c>
      <c r="D250" s="1" t="s">
        <v>22</v>
      </c>
      <c r="E250" s="1" t="s">
        <v>89</v>
      </c>
      <c r="F250" s="1" t="s">
        <v>90</v>
      </c>
      <c r="G250" s="1" t="s">
        <v>15</v>
      </c>
      <c r="H250" s="1">
        <v>4560</v>
      </c>
      <c r="I250" s="1">
        <v>779</v>
      </c>
      <c r="J250" s="2">
        <v>3552240</v>
      </c>
    </row>
    <row r="251" spans="1:10" ht="15.6" thickTop="1" thickBot="1" x14ac:dyDescent="0.35">
      <c r="A251" s="1" t="s">
        <v>338</v>
      </c>
      <c r="B251" s="1" t="s">
        <v>11</v>
      </c>
      <c r="C251" s="1" t="s">
        <v>116</v>
      </c>
      <c r="D251" s="1" t="s">
        <v>26</v>
      </c>
      <c r="E251" s="1" t="s">
        <v>92</v>
      </c>
      <c r="F251" s="1" t="s">
        <v>93</v>
      </c>
      <c r="G251" s="1" t="s">
        <v>15</v>
      </c>
      <c r="H251" s="1">
        <v>7880</v>
      </c>
      <c r="I251" s="1">
        <v>814</v>
      </c>
      <c r="J251" s="2">
        <v>6414320</v>
      </c>
    </row>
    <row r="252" spans="1:10" ht="15.6" thickTop="1" thickBot="1" x14ac:dyDescent="0.35">
      <c r="A252" s="1" t="s">
        <v>339</v>
      </c>
      <c r="B252" s="1" t="s">
        <v>11</v>
      </c>
      <c r="C252" s="1" t="s">
        <v>116</v>
      </c>
      <c r="D252" s="1" t="s">
        <v>18</v>
      </c>
      <c r="E252" s="1" t="s">
        <v>95</v>
      </c>
      <c r="F252" s="1" t="s">
        <v>20</v>
      </c>
      <c r="G252" s="1" t="s">
        <v>45</v>
      </c>
      <c r="H252" s="1">
        <v>4940</v>
      </c>
      <c r="I252" s="1">
        <v>517</v>
      </c>
      <c r="J252" s="2">
        <v>2553980</v>
      </c>
    </row>
    <row r="253" spans="1:10" ht="15.6" thickTop="1" thickBot="1" x14ac:dyDescent="0.35">
      <c r="A253" s="1" t="s">
        <v>340</v>
      </c>
      <c r="B253" s="1" t="s">
        <v>11</v>
      </c>
      <c r="C253" s="1" t="s">
        <v>116</v>
      </c>
      <c r="D253" s="1" t="s">
        <v>13</v>
      </c>
      <c r="E253" s="1" t="s">
        <v>97</v>
      </c>
      <c r="F253" s="1" t="s">
        <v>98</v>
      </c>
      <c r="G253" s="1" t="s">
        <v>15</v>
      </c>
      <c r="H253" s="1">
        <v>4721</v>
      </c>
      <c r="I253" s="1">
        <v>620</v>
      </c>
      <c r="J253" s="2">
        <v>2927020</v>
      </c>
    </row>
    <row r="254" spans="1:10" ht="15.6" thickTop="1" thickBot="1" x14ac:dyDescent="0.35">
      <c r="A254" s="1" t="s">
        <v>341</v>
      </c>
      <c r="B254" s="1" t="s">
        <v>11</v>
      </c>
      <c r="C254" s="1" t="s">
        <v>116</v>
      </c>
      <c r="D254" s="1" t="s">
        <v>13</v>
      </c>
      <c r="E254" s="1" t="s">
        <v>100</v>
      </c>
      <c r="F254" s="1" t="s">
        <v>101</v>
      </c>
      <c r="G254" s="1" t="s">
        <v>15</v>
      </c>
      <c r="H254" s="1">
        <v>2837</v>
      </c>
      <c r="I254" s="1">
        <v>831</v>
      </c>
      <c r="J254" s="2">
        <v>2357547</v>
      </c>
    </row>
    <row r="255" spans="1:10" ht="15.6" thickTop="1" thickBot="1" x14ac:dyDescent="0.35">
      <c r="A255" s="1" t="s">
        <v>200</v>
      </c>
      <c r="B255" s="1" t="s">
        <v>30</v>
      </c>
      <c r="C255" s="1" t="s">
        <v>133</v>
      </c>
      <c r="D255" s="1" t="s">
        <v>103</v>
      </c>
      <c r="E255" s="1" t="s">
        <v>104</v>
      </c>
      <c r="F255" s="1" t="s">
        <v>105</v>
      </c>
      <c r="G255" s="1" t="s">
        <v>15</v>
      </c>
      <c r="H255" s="1">
        <v>2085</v>
      </c>
      <c r="I255" s="1">
        <v>595</v>
      </c>
      <c r="J255" s="2">
        <v>1240575</v>
      </c>
    </row>
    <row r="256" spans="1:10" ht="15.6" thickTop="1" thickBot="1" x14ac:dyDescent="0.35">
      <c r="A256" s="1" t="s">
        <v>342</v>
      </c>
      <c r="B256" s="1" t="s">
        <v>30</v>
      </c>
      <c r="C256" s="1" t="s">
        <v>133</v>
      </c>
      <c r="D256" s="1" t="s">
        <v>13</v>
      </c>
      <c r="E256" s="1" t="s">
        <v>107</v>
      </c>
      <c r="F256" s="1" t="s">
        <v>108</v>
      </c>
      <c r="G256" s="1" t="s">
        <v>15</v>
      </c>
      <c r="H256" s="1">
        <v>2616</v>
      </c>
      <c r="I256" s="1">
        <v>652</v>
      </c>
      <c r="J256" s="2">
        <v>1705632</v>
      </c>
    </row>
    <row r="257" spans="1:10" ht="15.6" thickTop="1" thickBot="1" x14ac:dyDescent="0.35">
      <c r="A257" s="1" t="s">
        <v>343</v>
      </c>
      <c r="B257" s="1" t="s">
        <v>30</v>
      </c>
      <c r="C257" s="1" t="s">
        <v>133</v>
      </c>
      <c r="D257" s="1" t="s">
        <v>56</v>
      </c>
      <c r="E257" s="1" t="s">
        <v>110</v>
      </c>
      <c r="F257" s="1" t="s">
        <v>111</v>
      </c>
      <c r="G257" s="1" t="s">
        <v>45</v>
      </c>
      <c r="H257" s="1">
        <v>6023</v>
      </c>
      <c r="I257" s="1">
        <v>707</v>
      </c>
      <c r="J257" s="2">
        <v>4258261</v>
      </c>
    </row>
    <row r="258" spans="1:10" ht="15.6" thickTop="1" thickBot="1" x14ac:dyDescent="0.35">
      <c r="A258" s="1" t="s">
        <v>344</v>
      </c>
      <c r="B258" s="1" t="s">
        <v>30</v>
      </c>
      <c r="C258" s="1" t="s">
        <v>133</v>
      </c>
      <c r="D258" s="1" t="s">
        <v>22</v>
      </c>
      <c r="E258" s="1" t="s">
        <v>113</v>
      </c>
      <c r="F258" s="1" t="s">
        <v>24</v>
      </c>
      <c r="G258" s="1" t="s">
        <v>45</v>
      </c>
      <c r="H258" s="1">
        <v>6681</v>
      </c>
      <c r="I258" s="1">
        <v>886</v>
      </c>
      <c r="J258" s="2">
        <v>5919366</v>
      </c>
    </row>
    <row r="259" spans="1:10" ht="15.6" thickTop="1" thickBot="1" x14ac:dyDescent="0.35">
      <c r="A259" s="1" t="s">
        <v>345</v>
      </c>
      <c r="B259" s="1" t="s">
        <v>30</v>
      </c>
      <c r="C259" s="1" t="s">
        <v>133</v>
      </c>
      <c r="D259" s="1" t="s">
        <v>18</v>
      </c>
      <c r="E259" s="1" t="s">
        <v>74</v>
      </c>
      <c r="F259" s="1" t="s">
        <v>39</v>
      </c>
      <c r="G259" s="1" t="s">
        <v>45</v>
      </c>
      <c r="H259" s="1">
        <v>8243</v>
      </c>
      <c r="I259" s="1">
        <v>630</v>
      </c>
      <c r="J259" s="2">
        <v>5193090</v>
      </c>
    </row>
    <row r="260" spans="1:10" ht="15.6" thickTop="1" thickBot="1" x14ac:dyDescent="0.35">
      <c r="A260" s="1" t="s">
        <v>346</v>
      </c>
      <c r="B260" s="1" t="s">
        <v>30</v>
      </c>
      <c r="C260" s="1" t="s">
        <v>133</v>
      </c>
      <c r="D260" s="1" t="s">
        <v>13</v>
      </c>
      <c r="E260" s="1" t="s">
        <v>76</v>
      </c>
      <c r="F260" s="1" t="s">
        <v>50</v>
      </c>
      <c r="G260" s="1" t="s">
        <v>45</v>
      </c>
      <c r="H260" s="1">
        <v>9739</v>
      </c>
      <c r="I260" s="1">
        <v>947</v>
      </c>
      <c r="J260" s="2">
        <v>9222833</v>
      </c>
    </row>
    <row r="261" spans="1:10" ht="15.6" thickTop="1" thickBot="1" x14ac:dyDescent="0.35">
      <c r="A261" s="1" t="s">
        <v>347</v>
      </c>
      <c r="B261" s="1" t="s">
        <v>30</v>
      </c>
      <c r="C261" s="1" t="s">
        <v>133</v>
      </c>
      <c r="D261" s="1" t="s">
        <v>13</v>
      </c>
      <c r="E261" s="1" t="s">
        <v>79</v>
      </c>
      <c r="F261" s="1" t="s">
        <v>50</v>
      </c>
      <c r="G261" s="1" t="s">
        <v>45</v>
      </c>
      <c r="H261" s="1">
        <v>1974</v>
      </c>
      <c r="I261" s="1">
        <v>575</v>
      </c>
      <c r="J261" s="2">
        <v>1135050</v>
      </c>
    </row>
    <row r="262" spans="1:10" ht="15.6" thickTop="1" thickBot="1" x14ac:dyDescent="0.35">
      <c r="A262" s="1" t="s">
        <v>348</v>
      </c>
      <c r="B262" s="1" t="s">
        <v>30</v>
      </c>
      <c r="C262" s="1" t="s">
        <v>133</v>
      </c>
      <c r="D262" s="1" t="s">
        <v>26</v>
      </c>
      <c r="E262" s="1" t="s">
        <v>81</v>
      </c>
      <c r="F262" s="1" t="s">
        <v>28</v>
      </c>
      <c r="G262" s="1" t="s">
        <v>45</v>
      </c>
      <c r="H262" s="1">
        <v>7991</v>
      </c>
      <c r="I262" s="1">
        <v>910</v>
      </c>
      <c r="J262" s="2">
        <v>7271810</v>
      </c>
    </row>
    <row r="263" spans="1:10" ht="15.6" thickTop="1" thickBot="1" x14ac:dyDescent="0.35">
      <c r="A263" s="1" t="s">
        <v>349</v>
      </c>
      <c r="B263" s="1" t="s">
        <v>30</v>
      </c>
      <c r="C263" s="1" t="s">
        <v>133</v>
      </c>
      <c r="D263" s="1" t="s">
        <v>26</v>
      </c>
      <c r="E263" s="1" t="s">
        <v>83</v>
      </c>
      <c r="F263" s="1" t="s">
        <v>28</v>
      </c>
      <c r="G263" s="1" t="s">
        <v>45</v>
      </c>
      <c r="H263" s="1">
        <v>1888</v>
      </c>
      <c r="I263" s="1">
        <v>682</v>
      </c>
      <c r="J263" s="2">
        <v>1287616</v>
      </c>
    </row>
    <row r="264" spans="1:10" ht="15.6" thickTop="1" thickBot="1" x14ac:dyDescent="0.35">
      <c r="A264" s="1" t="s">
        <v>350</v>
      </c>
      <c r="B264" s="1" t="s">
        <v>30</v>
      </c>
      <c r="C264" s="1" t="s">
        <v>133</v>
      </c>
      <c r="D264" s="1" t="s">
        <v>13</v>
      </c>
      <c r="E264" s="1" t="s">
        <v>85</v>
      </c>
      <c r="F264" s="1" t="s">
        <v>44</v>
      </c>
      <c r="G264" s="1" t="s">
        <v>45</v>
      </c>
      <c r="H264" s="1">
        <v>3251</v>
      </c>
      <c r="I264" s="1">
        <v>720</v>
      </c>
      <c r="J264" s="2">
        <v>2340720</v>
      </c>
    </row>
    <row r="265" spans="1:10" ht="15.6" thickTop="1" thickBot="1" x14ac:dyDescent="0.35">
      <c r="A265" s="1" t="s">
        <v>351</v>
      </c>
      <c r="B265" s="1" t="s">
        <v>30</v>
      </c>
      <c r="C265" s="1" t="s">
        <v>133</v>
      </c>
      <c r="D265" s="1" t="s">
        <v>13</v>
      </c>
      <c r="E265" s="1" t="s">
        <v>87</v>
      </c>
      <c r="F265" s="1" t="s">
        <v>50</v>
      </c>
      <c r="G265" s="1" t="s">
        <v>45</v>
      </c>
      <c r="H265" s="1">
        <v>7341</v>
      </c>
      <c r="I265" s="1">
        <v>848</v>
      </c>
      <c r="J265" s="2">
        <v>6225168</v>
      </c>
    </row>
    <row r="266" spans="1:10" ht="15.6" thickTop="1" thickBot="1" x14ac:dyDescent="0.35">
      <c r="A266" s="1" t="s">
        <v>352</v>
      </c>
      <c r="B266" s="1" t="s">
        <v>30</v>
      </c>
      <c r="C266" s="1" t="s">
        <v>133</v>
      </c>
      <c r="D266" s="1" t="s">
        <v>22</v>
      </c>
      <c r="E266" s="1" t="s">
        <v>89</v>
      </c>
      <c r="F266" s="1" t="s">
        <v>90</v>
      </c>
      <c r="G266" s="1" t="s">
        <v>45</v>
      </c>
      <c r="H266" s="1">
        <v>7168</v>
      </c>
      <c r="I266" s="1">
        <v>642</v>
      </c>
      <c r="J266" s="2">
        <v>4601856</v>
      </c>
    </row>
    <row r="267" spans="1:10" ht="15.6" thickTop="1" thickBot="1" x14ac:dyDescent="0.35">
      <c r="A267" s="1" t="s">
        <v>353</v>
      </c>
      <c r="B267" s="1" t="s">
        <v>30</v>
      </c>
      <c r="C267" s="1" t="s">
        <v>146</v>
      </c>
      <c r="D267" s="1" t="s">
        <v>26</v>
      </c>
      <c r="E267" s="1" t="s">
        <v>92</v>
      </c>
      <c r="F267" s="1" t="s">
        <v>93</v>
      </c>
      <c r="G267" s="1" t="s">
        <v>45</v>
      </c>
      <c r="H267" s="1">
        <v>8503</v>
      </c>
      <c r="I267" s="1">
        <v>591</v>
      </c>
      <c r="J267" s="2">
        <v>5025273</v>
      </c>
    </row>
    <row r="268" spans="1:10" ht="15.6" thickTop="1" thickBot="1" x14ac:dyDescent="0.35">
      <c r="A268" s="1" t="s">
        <v>354</v>
      </c>
      <c r="B268" s="1" t="s">
        <v>30</v>
      </c>
      <c r="C268" s="1" t="s">
        <v>146</v>
      </c>
      <c r="D268" s="1" t="s">
        <v>18</v>
      </c>
      <c r="E268" s="1" t="s">
        <v>95</v>
      </c>
      <c r="F268" s="1" t="s">
        <v>20</v>
      </c>
      <c r="G268" s="1" t="s">
        <v>45</v>
      </c>
      <c r="H268" s="1">
        <v>3099</v>
      </c>
      <c r="I268" s="1">
        <v>601</v>
      </c>
      <c r="J268" s="2">
        <v>1862499</v>
      </c>
    </row>
    <row r="269" spans="1:10" ht="15.6" thickTop="1" thickBot="1" x14ac:dyDescent="0.35">
      <c r="A269" s="1" t="s">
        <v>355</v>
      </c>
      <c r="B269" s="1" t="s">
        <v>30</v>
      </c>
      <c r="C269" s="1" t="s">
        <v>146</v>
      </c>
      <c r="D269" s="1" t="s">
        <v>13</v>
      </c>
      <c r="E269" s="1" t="s">
        <v>97</v>
      </c>
      <c r="F269" s="1" t="s">
        <v>98</v>
      </c>
      <c r="G269" s="1" t="s">
        <v>45</v>
      </c>
      <c r="H269" s="1">
        <v>2916</v>
      </c>
      <c r="I269" s="1">
        <v>767</v>
      </c>
      <c r="J269" s="2">
        <v>2236572</v>
      </c>
    </row>
    <row r="270" spans="1:10" ht="15.6" thickTop="1" thickBot="1" x14ac:dyDescent="0.35">
      <c r="A270" s="1" t="s">
        <v>356</v>
      </c>
      <c r="B270" s="1" t="s">
        <v>30</v>
      </c>
      <c r="C270" s="1" t="s">
        <v>146</v>
      </c>
      <c r="D270" s="1" t="s">
        <v>13</v>
      </c>
      <c r="E270" s="1" t="s">
        <v>100</v>
      </c>
      <c r="F270" s="1" t="s">
        <v>101</v>
      </c>
      <c r="G270" s="1" t="s">
        <v>45</v>
      </c>
      <c r="H270" s="1">
        <v>5674</v>
      </c>
      <c r="I270" s="1">
        <v>975</v>
      </c>
      <c r="J270" s="2">
        <v>5532150</v>
      </c>
    </row>
    <row r="271" spans="1:10" ht="15.6" thickTop="1" thickBot="1" x14ac:dyDescent="0.35">
      <c r="A271" s="1" t="s">
        <v>357</v>
      </c>
      <c r="B271" s="1" t="s">
        <v>30</v>
      </c>
      <c r="C271" s="1" t="s">
        <v>146</v>
      </c>
      <c r="D271" s="1" t="s">
        <v>103</v>
      </c>
      <c r="E271" s="1" t="s">
        <v>104</v>
      </c>
      <c r="F271" s="1" t="s">
        <v>105</v>
      </c>
      <c r="G271" s="1" t="s">
        <v>45</v>
      </c>
      <c r="H271" s="1">
        <v>4048</v>
      </c>
      <c r="I271" s="1">
        <v>713</v>
      </c>
      <c r="J271" s="2">
        <v>2886224</v>
      </c>
    </row>
    <row r="272" spans="1:10" ht="15.6" thickTop="1" thickBot="1" x14ac:dyDescent="0.35">
      <c r="A272" s="1" t="s">
        <v>358</v>
      </c>
      <c r="B272" s="1" t="s">
        <v>30</v>
      </c>
      <c r="C272" s="1" t="s">
        <v>146</v>
      </c>
      <c r="D272" s="1" t="s">
        <v>13</v>
      </c>
      <c r="E272" s="1" t="s">
        <v>107</v>
      </c>
      <c r="F272" s="1" t="s">
        <v>108</v>
      </c>
      <c r="G272" s="1" t="s">
        <v>15</v>
      </c>
      <c r="H272" s="1">
        <v>1663</v>
      </c>
      <c r="I272" s="1">
        <v>659</v>
      </c>
      <c r="J272" s="2">
        <v>1095917</v>
      </c>
    </row>
    <row r="273" spans="1:10" ht="15.6" thickTop="1" thickBot="1" x14ac:dyDescent="0.35">
      <c r="A273" s="1" t="s">
        <v>359</v>
      </c>
      <c r="B273" s="1" t="s">
        <v>30</v>
      </c>
      <c r="C273" s="1" t="s">
        <v>146</v>
      </c>
      <c r="D273" s="1" t="s">
        <v>56</v>
      </c>
      <c r="E273" s="1" t="s">
        <v>110</v>
      </c>
      <c r="F273" s="1" t="s">
        <v>111</v>
      </c>
      <c r="G273" s="1" t="s">
        <v>15</v>
      </c>
      <c r="H273" s="1">
        <v>9541</v>
      </c>
      <c r="I273" s="1">
        <v>984</v>
      </c>
      <c r="J273" s="2">
        <v>9388344</v>
      </c>
    </row>
    <row r="274" spans="1:10" ht="15.6" thickTop="1" thickBot="1" x14ac:dyDescent="0.35">
      <c r="A274" s="1" t="s">
        <v>360</v>
      </c>
      <c r="B274" s="1" t="s">
        <v>30</v>
      </c>
      <c r="C274" s="1" t="s">
        <v>146</v>
      </c>
      <c r="D274" s="1" t="s">
        <v>22</v>
      </c>
      <c r="E274" s="1" t="s">
        <v>113</v>
      </c>
      <c r="F274" s="1" t="s">
        <v>24</v>
      </c>
      <c r="G274" s="1" t="s">
        <v>15</v>
      </c>
      <c r="H274" s="1">
        <v>3649</v>
      </c>
      <c r="I274" s="1">
        <v>503</v>
      </c>
      <c r="J274" s="2">
        <v>1835447</v>
      </c>
    </row>
    <row r="275" spans="1:10" ht="15.6" thickTop="1" thickBot="1" x14ac:dyDescent="0.35">
      <c r="A275" s="1" t="s">
        <v>361</v>
      </c>
      <c r="B275" s="1" t="s">
        <v>30</v>
      </c>
      <c r="C275" s="1" t="s">
        <v>146</v>
      </c>
      <c r="D275" s="1" t="s">
        <v>22</v>
      </c>
      <c r="E275" s="1" t="s">
        <v>23</v>
      </c>
      <c r="F275" s="1" t="s">
        <v>24</v>
      </c>
      <c r="G275" s="1" t="s">
        <v>15</v>
      </c>
      <c r="H275" s="1">
        <v>1737</v>
      </c>
      <c r="I275" s="1">
        <v>571</v>
      </c>
      <c r="J275" s="2">
        <v>991827</v>
      </c>
    </row>
    <row r="276" spans="1:10" ht="15.6" thickTop="1" thickBot="1" x14ac:dyDescent="0.35">
      <c r="A276" s="1" t="s">
        <v>362</v>
      </c>
      <c r="B276" s="1" t="s">
        <v>30</v>
      </c>
      <c r="C276" s="1" t="s">
        <v>146</v>
      </c>
      <c r="D276" s="1" t="s">
        <v>56</v>
      </c>
      <c r="E276" s="1" t="s">
        <v>117</v>
      </c>
      <c r="F276" s="1" t="s">
        <v>58</v>
      </c>
      <c r="G276" s="1" t="s">
        <v>15</v>
      </c>
      <c r="H276" s="1">
        <v>7995</v>
      </c>
      <c r="I276" s="1">
        <v>910</v>
      </c>
      <c r="J276" s="2">
        <v>7275450</v>
      </c>
    </row>
    <row r="277" spans="1:10" ht="15.6" thickTop="1" thickBot="1" x14ac:dyDescent="0.35">
      <c r="A277" s="1" t="s">
        <v>363</v>
      </c>
      <c r="B277" s="1" t="s">
        <v>30</v>
      </c>
      <c r="C277" s="1" t="s">
        <v>146</v>
      </c>
      <c r="D277" s="1" t="s">
        <v>22</v>
      </c>
      <c r="E277" s="1" t="s">
        <v>119</v>
      </c>
      <c r="F277" s="1" t="s">
        <v>90</v>
      </c>
      <c r="G277" s="1" t="s">
        <v>45</v>
      </c>
      <c r="H277" s="1">
        <v>5228</v>
      </c>
      <c r="I277" s="1">
        <v>781</v>
      </c>
      <c r="J277" s="2">
        <v>4083068</v>
      </c>
    </row>
    <row r="278" spans="1:10" ht="15.6" thickTop="1" thickBot="1" x14ac:dyDescent="0.35">
      <c r="A278" s="1" t="s">
        <v>364</v>
      </c>
      <c r="B278" s="1" t="s">
        <v>158</v>
      </c>
      <c r="C278" s="1" t="s">
        <v>159</v>
      </c>
      <c r="D278" s="1" t="s">
        <v>22</v>
      </c>
      <c r="E278" s="1" t="s">
        <v>121</v>
      </c>
      <c r="F278" s="1" t="s">
        <v>24</v>
      </c>
      <c r="G278" s="1" t="s">
        <v>45</v>
      </c>
      <c r="H278" s="1">
        <v>7710</v>
      </c>
      <c r="I278" s="1">
        <v>954</v>
      </c>
      <c r="J278" s="2">
        <v>7355340</v>
      </c>
    </row>
    <row r="279" spans="1:10" ht="15.6" thickTop="1" thickBot="1" x14ac:dyDescent="0.35">
      <c r="A279" s="1" t="s">
        <v>365</v>
      </c>
      <c r="B279" s="1" t="s">
        <v>158</v>
      </c>
      <c r="C279" s="1" t="s">
        <v>159</v>
      </c>
      <c r="D279" s="1" t="s">
        <v>26</v>
      </c>
      <c r="E279" s="1" t="s">
        <v>123</v>
      </c>
      <c r="F279" s="1" t="s">
        <v>33</v>
      </c>
      <c r="G279" s="1" t="s">
        <v>45</v>
      </c>
      <c r="H279" s="1">
        <v>3333</v>
      </c>
      <c r="I279" s="1">
        <v>945</v>
      </c>
      <c r="J279" s="2">
        <v>3149685</v>
      </c>
    </row>
    <row r="280" spans="1:10" ht="15.6" thickTop="1" thickBot="1" x14ac:dyDescent="0.35">
      <c r="A280" s="1" t="s">
        <v>366</v>
      </c>
      <c r="B280" s="1" t="s">
        <v>158</v>
      </c>
      <c r="C280" s="1" t="s">
        <v>159</v>
      </c>
      <c r="D280" s="1" t="s">
        <v>13</v>
      </c>
      <c r="E280" s="1" t="s">
        <v>14</v>
      </c>
      <c r="F280" s="1" t="s">
        <v>14</v>
      </c>
      <c r="G280" s="1" t="s">
        <v>45</v>
      </c>
      <c r="H280" s="1">
        <v>9277</v>
      </c>
      <c r="I280" s="1">
        <v>839</v>
      </c>
      <c r="J280" s="2">
        <v>7783403</v>
      </c>
    </row>
    <row r="281" spans="1:10" ht="15.6" thickTop="1" thickBot="1" x14ac:dyDescent="0.35">
      <c r="A281" s="1" t="s">
        <v>367</v>
      </c>
      <c r="B281" s="1" t="s">
        <v>158</v>
      </c>
      <c r="C281" s="1" t="s">
        <v>159</v>
      </c>
      <c r="D281" s="1" t="s">
        <v>18</v>
      </c>
      <c r="E281" s="1" t="s">
        <v>19</v>
      </c>
      <c r="F281" s="1" t="s">
        <v>20</v>
      </c>
      <c r="G281" s="1" t="s">
        <v>45</v>
      </c>
      <c r="H281" s="1">
        <v>4277</v>
      </c>
      <c r="I281" s="1">
        <v>857</v>
      </c>
      <c r="J281" s="2">
        <v>3665389</v>
      </c>
    </row>
    <row r="282" spans="1:10" ht="15.6" thickTop="1" thickBot="1" x14ac:dyDescent="0.35">
      <c r="A282" s="1" t="s">
        <v>368</v>
      </c>
      <c r="B282" s="1" t="s">
        <v>158</v>
      </c>
      <c r="C282" s="1" t="s">
        <v>159</v>
      </c>
      <c r="D282" s="1" t="s">
        <v>13</v>
      </c>
      <c r="E282" s="1" t="s">
        <v>107</v>
      </c>
      <c r="F282" s="1" t="s">
        <v>108</v>
      </c>
      <c r="G282" s="1" t="s">
        <v>45</v>
      </c>
      <c r="H282" s="1">
        <v>1696</v>
      </c>
      <c r="I282" s="1">
        <v>868</v>
      </c>
      <c r="J282" s="2">
        <v>1472128</v>
      </c>
    </row>
    <row r="283" spans="1:10" ht="15.6" thickTop="1" thickBot="1" x14ac:dyDescent="0.35">
      <c r="A283" s="1" t="s">
        <v>369</v>
      </c>
      <c r="B283" s="1" t="s">
        <v>158</v>
      </c>
      <c r="C283" s="1" t="s">
        <v>159</v>
      </c>
      <c r="D283" s="1" t="s">
        <v>56</v>
      </c>
      <c r="E283" s="1" t="s">
        <v>110</v>
      </c>
      <c r="F283" s="1" t="s">
        <v>111</v>
      </c>
      <c r="G283" s="1" t="s">
        <v>45</v>
      </c>
      <c r="H283" s="1">
        <v>7071</v>
      </c>
      <c r="I283" s="1">
        <v>778</v>
      </c>
      <c r="J283" s="2">
        <v>5501238</v>
      </c>
    </row>
    <row r="284" spans="1:10" ht="15.6" thickTop="1" thickBot="1" x14ac:dyDescent="0.35">
      <c r="A284" s="1" t="s">
        <v>370</v>
      </c>
      <c r="B284" s="1" t="s">
        <v>158</v>
      </c>
      <c r="C284" s="1" t="s">
        <v>159</v>
      </c>
      <c r="D284" s="1" t="s">
        <v>22</v>
      </c>
      <c r="E284" s="1" t="s">
        <v>113</v>
      </c>
      <c r="F284" s="1" t="s">
        <v>24</v>
      </c>
      <c r="G284" s="1" t="s">
        <v>15</v>
      </c>
      <c r="H284" s="1">
        <v>2536</v>
      </c>
      <c r="I284" s="1">
        <v>798</v>
      </c>
      <c r="J284" s="2">
        <v>2023728</v>
      </c>
    </row>
    <row r="285" spans="1:10" ht="15.6" thickTop="1" thickBot="1" x14ac:dyDescent="0.35">
      <c r="A285" s="1" t="s">
        <v>371</v>
      </c>
      <c r="B285" s="1" t="s">
        <v>30</v>
      </c>
      <c r="C285" s="1" t="s">
        <v>133</v>
      </c>
      <c r="D285" s="1" t="s">
        <v>18</v>
      </c>
      <c r="E285" s="1" t="s">
        <v>74</v>
      </c>
      <c r="F285" s="1" t="s">
        <v>39</v>
      </c>
      <c r="G285" s="1" t="s">
        <v>15</v>
      </c>
      <c r="H285" s="1">
        <v>7823</v>
      </c>
      <c r="I285" s="1">
        <v>833</v>
      </c>
      <c r="J285" s="2">
        <v>6516559</v>
      </c>
    </row>
    <row r="286" spans="1:10" ht="15.6" thickTop="1" thickBot="1" x14ac:dyDescent="0.35">
      <c r="A286" s="1" t="s">
        <v>372</v>
      </c>
      <c r="B286" s="1" t="s">
        <v>30</v>
      </c>
      <c r="C286" s="1" t="s">
        <v>133</v>
      </c>
      <c r="D286" s="1" t="s">
        <v>13</v>
      </c>
      <c r="E286" s="1" t="s">
        <v>76</v>
      </c>
      <c r="F286" s="1" t="s">
        <v>50</v>
      </c>
      <c r="G286" s="1" t="s">
        <v>15</v>
      </c>
      <c r="H286" s="1">
        <v>7275</v>
      </c>
      <c r="I286" s="1">
        <v>776</v>
      </c>
      <c r="J286" s="2">
        <v>5645400</v>
      </c>
    </row>
    <row r="287" spans="1:10" ht="15.6" thickTop="1" thickBot="1" x14ac:dyDescent="0.35">
      <c r="A287" s="1" t="s">
        <v>373</v>
      </c>
      <c r="B287" s="1" t="s">
        <v>30</v>
      </c>
      <c r="C287" s="1" t="s">
        <v>133</v>
      </c>
      <c r="D287" s="1" t="s">
        <v>13</v>
      </c>
      <c r="E287" s="1" t="s">
        <v>79</v>
      </c>
      <c r="F287" s="1" t="s">
        <v>50</v>
      </c>
      <c r="G287" s="1" t="s">
        <v>15</v>
      </c>
      <c r="H287" s="1">
        <v>8910</v>
      </c>
      <c r="I287" s="1">
        <v>529</v>
      </c>
      <c r="J287" s="2">
        <v>4713390</v>
      </c>
    </row>
    <row r="288" spans="1:10" ht="15.6" thickTop="1" thickBot="1" x14ac:dyDescent="0.35">
      <c r="A288" s="1" t="s">
        <v>374</v>
      </c>
      <c r="B288" s="1" t="s">
        <v>30</v>
      </c>
      <c r="C288" s="1" t="s">
        <v>133</v>
      </c>
      <c r="D288" s="1" t="s">
        <v>26</v>
      </c>
      <c r="E288" s="1" t="s">
        <v>81</v>
      </c>
      <c r="F288" s="1" t="s">
        <v>28</v>
      </c>
      <c r="G288" s="1" t="s">
        <v>45</v>
      </c>
      <c r="H288" s="1">
        <v>2683</v>
      </c>
      <c r="I288" s="1">
        <v>705</v>
      </c>
      <c r="J288" s="2">
        <v>1891515</v>
      </c>
    </row>
    <row r="289" spans="1:10" ht="15.6" thickTop="1" thickBot="1" x14ac:dyDescent="0.35">
      <c r="A289" s="1" t="s">
        <v>375</v>
      </c>
      <c r="B289" s="1" t="s">
        <v>30</v>
      </c>
      <c r="C289" s="1" t="s">
        <v>133</v>
      </c>
      <c r="D289" s="1" t="s">
        <v>26</v>
      </c>
      <c r="E289" s="1" t="s">
        <v>83</v>
      </c>
      <c r="F289" s="1" t="s">
        <v>28</v>
      </c>
      <c r="G289" s="1" t="s">
        <v>15</v>
      </c>
      <c r="H289" s="1">
        <v>7046</v>
      </c>
      <c r="I289" s="1">
        <v>576</v>
      </c>
      <c r="J289" s="2">
        <v>4058496</v>
      </c>
    </row>
    <row r="290" spans="1:10" ht="15.6" thickTop="1" thickBot="1" x14ac:dyDescent="0.35">
      <c r="A290" s="1" t="s">
        <v>376</v>
      </c>
      <c r="B290" s="1" t="s">
        <v>30</v>
      </c>
      <c r="C290" s="1" t="s">
        <v>146</v>
      </c>
      <c r="D290" s="1" t="s">
        <v>13</v>
      </c>
      <c r="E290" s="1" t="s">
        <v>85</v>
      </c>
      <c r="F290" s="1" t="s">
        <v>44</v>
      </c>
      <c r="G290" s="1" t="s">
        <v>15</v>
      </c>
      <c r="H290" s="1">
        <v>9395</v>
      </c>
      <c r="I290" s="1">
        <v>922</v>
      </c>
      <c r="J290" s="2">
        <v>8662190</v>
      </c>
    </row>
    <row r="291" spans="1:10" ht="15.6" thickTop="1" thickBot="1" x14ac:dyDescent="0.35">
      <c r="A291" s="1" t="s">
        <v>377</v>
      </c>
      <c r="B291" s="1" t="s">
        <v>30</v>
      </c>
      <c r="C291" s="1" t="s">
        <v>146</v>
      </c>
      <c r="D291" s="1" t="s">
        <v>13</v>
      </c>
      <c r="E291" s="1" t="s">
        <v>87</v>
      </c>
      <c r="F291" s="1" t="s">
        <v>50</v>
      </c>
      <c r="G291" s="1" t="s">
        <v>15</v>
      </c>
      <c r="H291" s="1">
        <v>5242</v>
      </c>
      <c r="I291" s="1">
        <v>838</v>
      </c>
      <c r="J291" s="2">
        <v>4392796</v>
      </c>
    </row>
    <row r="292" spans="1:10" ht="15.6" thickTop="1" thickBot="1" x14ac:dyDescent="0.35">
      <c r="A292" s="1" t="s">
        <v>378</v>
      </c>
      <c r="B292" s="1" t="s">
        <v>30</v>
      </c>
      <c r="C292" s="1" t="s">
        <v>146</v>
      </c>
      <c r="D292" s="1" t="s">
        <v>22</v>
      </c>
      <c r="E292" s="1" t="s">
        <v>89</v>
      </c>
      <c r="F292" s="1" t="s">
        <v>90</v>
      </c>
      <c r="G292" s="1" t="s">
        <v>15</v>
      </c>
      <c r="H292" s="1">
        <v>9909</v>
      </c>
      <c r="I292" s="1">
        <v>657</v>
      </c>
      <c r="J292" s="2">
        <v>6510213</v>
      </c>
    </row>
    <row r="293" spans="1:10" ht="15.6" thickTop="1" thickBot="1" x14ac:dyDescent="0.35">
      <c r="A293" s="1" t="s">
        <v>379</v>
      </c>
      <c r="B293" s="1" t="s">
        <v>30</v>
      </c>
      <c r="C293" s="1" t="s">
        <v>146</v>
      </c>
      <c r="D293" s="1" t="s">
        <v>26</v>
      </c>
      <c r="E293" s="1" t="s">
        <v>92</v>
      </c>
      <c r="F293" s="1" t="s">
        <v>93</v>
      </c>
      <c r="G293" s="1" t="s">
        <v>45</v>
      </c>
      <c r="H293" s="1">
        <v>2005</v>
      </c>
      <c r="I293" s="1">
        <v>748</v>
      </c>
      <c r="J293" s="2">
        <v>1499740</v>
      </c>
    </row>
    <row r="294" spans="1:10" ht="15.6" thickTop="1" thickBot="1" x14ac:dyDescent="0.35">
      <c r="A294" s="1" t="s">
        <v>380</v>
      </c>
      <c r="B294" s="1" t="s">
        <v>30</v>
      </c>
      <c r="C294" s="1" t="s">
        <v>146</v>
      </c>
      <c r="D294" s="1" t="s">
        <v>18</v>
      </c>
      <c r="E294" s="1" t="s">
        <v>95</v>
      </c>
      <c r="F294" s="1" t="s">
        <v>20</v>
      </c>
      <c r="G294" s="1" t="s">
        <v>45</v>
      </c>
      <c r="H294" s="1">
        <v>1891</v>
      </c>
      <c r="I294" s="1">
        <v>953</v>
      </c>
      <c r="J294" s="2">
        <v>1802123</v>
      </c>
    </row>
    <row r="295" spans="1:10" ht="15.6" thickTop="1" thickBot="1" x14ac:dyDescent="0.35">
      <c r="A295" s="1" t="s">
        <v>381</v>
      </c>
      <c r="B295" s="1" t="s">
        <v>30</v>
      </c>
      <c r="C295" s="1" t="s">
        <v>146</v>
      </c>
      <c r="D295" s="1" t="s">
        <v>13</v>
      </c>
      <c r="E295" s="1" t="s">
        <v>97</v>
      </c>
      <c r="F295" s="1" t="s">
        <v>98</v>
      </c>
      <c r="G295" s="1" t="s">
        <v>45</v>
      </c>
      <c r="H295" s="1">
        <v>6839</v>
      </c>
      <c r="I295" s="1">
        <v>909</v>
      </c>
      <c r="J295" s="2">
        <v>6216651</v>
      </c>
    </row>
    <row r="296" spans="1:10" ht="15.6" thickTop="1" thickBot="1" x14ac:dyDescent="0.35">
      <c r="A296" s="1" t="s">
        <v>271</v>
      </c>
      <c r="B296" s="1" t="s">
        <v>158</v>
      </c>
      <c r="C296" s="1" t="s">
        <v>178</v>
      </c>
      <c r="D296" s="1" t="s">
        <v>13</v>
      </c>
      <c r="E296" s="1" t="s">
        <v>100</v>
      </c>
      <c r="F296" s="1" t="s">
        <v>101</v>
      </c>
      <c r="G296" s="1" t="s">
        <v>45</v>
      </c>
      <c r="H296" s="1">
        <v>8854</v>
      </c>
      <c r="I296" s="1">
        <v>944</v>
      </c>
      <c r="J296" s="2">
        <v>8358176</v>
      </c>
    </row>
    <row r="297" spans="1:10" ht="15.6" thickTop="1" thickBot="1" x14ac:dyDescent="0.35">
      <c r="A297" s="1" t="s">
        <v>382</v>
      </c>
      <c r="B297" s="1" t="s">
        <v>158</v>
      </c>
      <c r="C297" s="1" t="s">
        <v>178</v>
      </c>
      <c r="D297" s="1" t="s">
        <v>103</v>
      </c>
      <c r="E297" s="1" t="s">
        <v>104</v>
      </c>
      <c r="F297" s="1" t="s">
        <v>105</v>
      </c>
      <c r="G297" s="1" t="s">
        <v>45</v>
      </c>
      <c r="H297" s="1">
        <v>8143</v>
      </c>
      <c r="I297" s="1">
        <v>786</v>
      </c>
      <c r="J297" s="2">
        <v>6400398</v>
      </c>
    </row>
    <row r="298" spans="1:10" ht="15.6" thickTop="1" thickBot="1" x14ac:dyDescent="0.35">
      <c r="A298" s="1" t="s">
        <v>383</v>
      </c>
      <c r="B298" s="1" t="s">
        <v>158</v>
      </c>
      <c r="C298" s="1" t="s">
        <v>178</v>
      </c>
      <c r="D298" s="1" t="s">
        <v>13</v>
      </c>
      <c r="E298" s="1" t="s">
        <v>107</v>
      </c>
      <c r="F298" s="1" t="s">
        <v>108</v>
      </c>
      <c r="G298" s="1" t="s">
        <v>45</v>
      </c>
      <c r="H298" s="1">
        <v>8069</v>
      </c>
      <c r="I298" s="1">
        <v>553</v>
      </c>
      <c r="J298" s="2">
        <v>4462157</v>
      </c>
    </row>
    <row r="299" spans="1:10" ht="15.6" thickTop="1" thickBot="1" x14ac:dyDescent="0.35">
      <c r="A299" s="1" t="s">
        <v>230</v>
      </c>
      <c r="B299" s="1" t="s">
        <v>158</v>
      </c>
      <c r="C299" s="1" t="s">
        <v>178</v>
      </c>
      <c r="D299" s="1" t="s">
        <v>56</v>
      </c>
      <c r="E299" s="1" t="s">
        <v>110</v>
      </c>
      <c r="F299" s="1" t="s">
        <v>111</v>
      </c>
      <c r="G299" s="1" t="s">
        <v>45</v>
      </c>
      <c r="H299" s="1">
        <v>2268</v>
      </c>
      <c r="I299" s="1">
        <v>911</v>
      </c>
      <c r="J299" s="2">
        <v>2066148</v>
      </c>
    </row>
    <row r="300" spans="1:10" ht="15.6" thickTop="1" thickBot="1" x14ac:dyDescent="0.35">
      <c r="A300" s="1" t="s">
        <v>384</v>
      </c>
      <c r="B300" s="1" t="s">
        <v>158</v>
      </c>
      <c r="C300" s="1" t="s">
        <v>178</v>
      </c>
      <c r="D300" s="1" t="s">
        <v>22</v>
      </c>
      <c r="E300" s="1" t="s">
        <v>113</v>
      </c>
      <c r="F300" s="1" t="s">
        <v>24</v>
      </c>
      <c r="G300" s="1" t="s">
        <v>45</v>
      </c>
      <c r="H300" s="1">
        <v>2576</v>
      </c>
      <c r="I300" s="1">
        <v>987</v>
      </c>
      <c r="J300" s="2">
        <v>2542512</v>
      </c>
    </row>
    <row r="301" spans="1:10" ht="15.6" thickTop="1" thickBot="1" x14ac:dyDescent="0.35">
      <c r="A301" s="1" t="s">
        <v>228</v>
      </c>
      <c r="B301" s="1" t="s">
        <v>158</v>
      </c>
      <c r="C301" s="1" t="s">
        <v>178</v>
      </c>
      <c r="D301" s="1" t="s">
        <v>22</v>
      </c>
      <c r="E301" s="1" t="s">
        <v>23</v>
      </c>
      <c r="F301" s="1" t="s">
        <v>24</v>
      </c>
      <c r="G301" s="1" t="s">
        <v>45</v>
      </c>
      <c r="H301" s="1">
        <v>7694</v>
      </c>
      <c r="I301" s="1">
        <v>907</v>
      </c>
      <c r="J301" s="2">
        <v>6978458</v>
      </c>
    </row>
    <row r="302" spans="1:10" ht="15.6" thickTop="1" thickBot="1" x14ac:dyDescent="0.35">
      <c r="A302" s="1" t="s">
        <v>385</v>
      </c>
      <c r="B302" s="1" t="s">
        <v>158</v>
      </c>
      <c r="C302" s="1" t="s">
        <v>178</v>
      </c>
      <c r="D302" s="1" t="s">
        <v>56</v>
      </c>
      <c r="E302" s="1" t="s">
        <v>117</v>
      </c>
      <c r="F302" s="1" t="s">
        <v>58</v>
      </c>
      <c r="G302" s="1" t="s">
        <v>45</v>
      </c>
      <c r="H302" s="1">
        <v>8952</v>
      </c>
      <c r="I302" s="1">
        <v>760</v>
      </c>
      <c r="J302" s="2">
        <v>6803520</v>
      </c>
    </row>
    <row r="303" spans="1:10" ht="15.6" thickTop="1" thickBot="1" x14ac:dyDescent="0.35">
      <c r="A303" s="1" t="s">
        <v>386</v>
      </c>
      <c r="B303" s="1" t="s">
        <v>158</v>
      </c>
      <c r="C303" s="1" t="s">
        <v>178</v>
      </c>
      <c r="D303" s="1" t="s">
        <v>22</v>
      </c>
      <c r="E303" s="1" t="s">
        <v>119</v>
      </c>
      <c r="F303" s="1" t="s">
        <v>90</v>
      </c>
      <c r="G303" s="1" t="s">
        <v>15</v>
      </c>
      <c r="H303" s="1">
        <v>5764</v>
      </c>
      <c r="I303" s="1">
        <v>622</v>
      </c>
      <c r="J303" s="2">
        <v>3585208</v>
      </c>
    </row>
    <row r="304" spans="1:10" ht="15.6" thickTop="1" thickBot="1" x14ac:dyDescent="0.35">
      <c r="A304" s="1" t="s">
        <v>387</v>
      </c>
      <c r="B304" s="1" t="s">
        <v>158</v>
      </c>
      <c r="C304" s="1" t="s">
        <v>178</v>
      </c>
      <c r="D304" s="1" t="s">
        <v>22</v>
      </c>
      <c r="E304" s="1" t="s">
        <v>121</v>
      </c>
      <c r="F304" s="1" t="s">
        <v>24</v>
      </c>
      <c r="G304" s="1" t="s">
        <v>15</v>
      </c>
      <c r="H304" s="1">
        <v>9098</v>
      </c>
      <c r="I304" s="1">
        <v>677</v>
      </c>
      <c r="J304" s="2">
        <v>6159346</v>
      </c>
    </row>
    <row r="305" spans="1:10" ht="15.6" thickTop="1" thickBot="1" x14ac:dyDescent="0.35">
      <c r="A305" s="1" t="s">
        <v>388</v>
      </c>
      <c r="B305" s="1" t="s">
        <v>158</v>
      </c>
      <c r="C305" s="1" t="s">
        <v>178</v>
      </c>
      <c r="D305" s="1" t="s">
        <v>13</v>
      </c>
      <c r="E305" s="1" t="s">
        <v>87</v>
      </c>
      <c r="F305" s="1" t="s">
        <v>50</v>
      </c>
      <c r="G305" s="1" t="s">
        <v>15</v>
      </c>
      <c r="H305" s="1">
        <v>2777</v>
      </c>
      <c r="I305" s="1">
        <v>986</v>
      </c>
      <c r="J305" s="2">
        <v>2738122</v>
      </c>
    </row>
    <row r="306" spans="1:10" ht="15.6" thickTop="1" thickBot="1" x14ac:dyDescent="0.35">
      <c r="A306" s="1" t="s">
        <v>389</v>
      </c>
      <c r="B306" s="1" t="s">
        <v>158</v>
      </c>
      <c r="C306" s="1" t="s">
        <v>178</v>
      </c>
      <c r="D306" s="1" t="s">
        <v>22</v>
      </c>
      <c r="E306" s="1" t="s">
        <v>89</v>
      </c>
      <c r="F306" s="1" t="s">
        <v>90</v>
      </c>
      <c r="G306" s="1" t="s">
        <v>15</v>
      </c>
      <c r="H306" s="1">
        <v>9218</v>
      </c>
      <c r="I306" s="1">
        <v>927</v>
      </c>
      <c r="J306" s="2">
        <v>8545086</v>
      </c>
    </row>
    <row r="307" spans="1:10" ht="15.6" thickTop="1" thickBot="1" x14ac:dyDescent="0.35">
      <c r="A307" s="1" t="s">
        <v>390</v>
      </c>
      <c r="B307" s="1" t="s">
        <v>158</v>
      </c>
      <c r="C307" s="1" t="s">
        <v>178</v>
      </c>
      <c r="D307" s="1" t="s">
        <v>26</v>
      </c>
      <c r="E307" s="1" t="s">
        <v>92</v>
      </c>
      <c r="F307" s="1" t="s">
        <v>93</v>
      </c>
      <c r="G307" s="1" t="s">
        <v>15</v>
      </c>
      <c r="H307" s="1">
        <v>6785</v>
      </c>
      <c r="I307" s="1">
        <v>751</v>
      </c>
      <c r="J307" s="2">
        <v>5095535</v>
      </c>
    </row>
    <row r="308" spans="1:10" ht="15.6" thickTop="1" thickBot="1" x14ac:dyDescent="0.35">
      <c r="A308" s="1" t="s">
        <v>391</v>
      </c>
      <c r="B308" s="1" t="s">
        <v>11</v>
      </c>
      <c r="C308" s="1" t="s">
        <v>116</v>
      </c>
      <c r="D308" s="1" t="s">
        <v>18</v>
      </c>
      <c r="E308" s="1" t="s">
        <v>95</v>
      </c>
      <c r="F308" s="1" t="s">
        <v>20</v>
      </c>
      <c r="G308" s="1" t="s">
        <v>45</v>
      </c>
      <c r="H308" s="1">
        <v>1980</v>
      </c>
      <c r="I308" s="1">
        <v>648</v>
      </c>
      <c r="J308" s="2">
        <v>1283040</v>
      </c>
    </row>
    <row r="309" spans="1:10" ht="15.6" thickTop="1" thickBot="1" x14ac:dyDescent="0.35">
      <c r="A309" s="1" t="s">
        <v>392</v>
      </c>
      <c r="B309" s="1" t="s">
        <v>11</v>
      </c>
      <c r="C309" s="1" t="s">
        <v>116</v>
      </c>
      <c r="D309" s="1" t="s">
        <v>13</v>
      </c>
      <c r="E309" s="1" t="s">
        <v>97</v>
      </c>
      <c r="F309" s="1" t="s">
        <v>98</v>
      </c>
      <c r="G309" s="1" t="s">
        <v>45</v>
      </c>
      <c r="H309" s="1">
        <v>6082</v>
      </c>
      <c r="I309" s="1">
        <v>810</v>
      </c>
      <c r="J309" s="2">
        <v>4926420</v>
      </c>
    </row>
    <row r="310" spans="1:10" ht="15.6" thickTop="1" thickBot="1" x14ac:dyDescent="0.35">
      <c r="A310" s="1" t="s">
        <v>393</v>
      </c>
      <c r="B310" s="1" t="s">
        <v>11</v>
      </c>
      <c r="C310" s="1" t="s">
        <v>116</v>
      </c>
      <c r="D310" s="1" t="s">
        <v>13</v>
      </c>
      <c r="E310" s="1" t="s">
        <v>100</v>
      </c>
      <c r="F310" s="1" t="s">
        <v>101</v>
      </c>
      <c r="G310" s="1" t="s">
        <v>45</v>
      </c>
      <c r="H310" s="1">
        <v>9433</v>
      </c>
      <c r="I310" s="1">
        <v>540</v>
      </c>
      <c r="J310" s="2">
        <v>5093820</v>
      </c>
    </row>
    <row r="311" spans="1:10" ht="15.6" thickTop="1" thickBot="1" x14ac:dyDescent="0.35">
      <c r="A311" s="1" t="s">
        <v>394</v>
      </c>
      <c r="B311" s="1" t="s">
        <v>11</v>
      </c>
      <c r="C311" s="1" t="s">
        <v>116</v>
      </c>
      <c r="D311" s="1" t="s">
        <v>103</v>
      </c>
      <c r="E311" s="1" t="s">
        <v>104</v>
      </c>
      <c r="F311" s="1" t="s">
        <v>105</v>
      </c>
      <c r="G311" s="1" t="s">
        <v>15</v>
      </c>
      <c r="H311" s="1">
        <v>5549</v>
      </c>
      <c r="I311" s="1">
        <v>973</v>
      </c>
      <c r="J311" s="2">
        <v>5399177</v>
      </c>
    </row>
    <row r="312" spans="1:10" ht="15.6" thickTop="1" thickBot="1" x14ac:dyDescent="0.35">
      <c r="A312" s="1" t="s">
        <v>395</v>
      </c>
      <c r="B312" s="1" t="s">
        <v>11</v>
      </c>
      <c r="C312" s="1" t="s">
        <v>116</v>
      </c>
      <c r="D312" s="1" t="s">
        <v>13</v>
      </c>
      <c r="E312" s="1" t="s">
        <v>107</v>
      </c>
      <c r="F312" s="1" t="s">
        <v>108</v>
      </c>
      <c r="G312" s="1" t="s">
        <v>15</v>
      </c>
      <c r="H312" s="1">
        <v>2572</v>
      </c>
      <c r="I312" s="1">
        <v>777</v>
      </c>
      <c r="J312" s="2">
        <v>1998444</v>
      </c>
    </row>
    <row r="313" spans="1:10" ht="15.6" thickTop="1" thickBot="1" x14ac:dyDescent="0.35">
      <c r="A313" s="1" t="s">
        <v>396</v>
      </c>
      <c r="B313" s="1" t="s">
        <v>11</v>
      </c>
      <c r="C313" s="1" t="s">
        <v>116</v>
      </c>
      <c r="D313" s="1" t="s">
        <v>56</v>
      </c>
      <c r="E313" s="1" t="s">
        <v>110</v>
      </c>
      <c r="F313" s="1" t="s">
        <v>111</v>
      </c>
      <c r="G313" s="1" t="s">
        <v>15</v>
      </c>
      <c r="H313" s="1">
        <v>5503</v>
      </c>
      <c r="I313" s="1">
        <v>717</v>
      </c>
      <c r="J313" s="2">
        <v>3945651</v>
      </c>
    </row>
    <row r="314" spans="1:10" ht="15.6" thickTop="1" thickBot="1" x14ac:dyDescent="0.35">
      <c r="A314" s="1" t="s">
        <v>397</v>
      </c>
      <c r="B314" s="1" t="s">
        <v>11</v>
      </c>
      <c r="C314" s="1" t="s">
        <v>116</v>
      </c>
      <c r="D314" s="1" t="s">
        <v>22</v>
      </c>
      <c r="E314" s="1" t="s">
        <v>113</v>
      </c>
      <c r="F314" s="1" t="s">
        <v>24</v>
      </c>
      <c r="G314" s="1" t="s">
        <v>15</v>
      </c>
      <c r="H314" s="1">
        <v>5562</v>
      </c>
      <c r="I314" s="1">
        <v>986</v>
      </c>
      <c r="J314" s="2">
        <v>5484132</v>
      </c>
    </row>
    <row r="315" spans="1:10" ht="15.6" thickTop="1" thickBot="1" x14ac:dyDescent="0.35">
      <c r="A315" s="1" t="s">
        <v>398</v>
      </c>
      <c r="B315" s="1" t="s">
        <v>11</v>
      </c>
      <c r="C315" s="1" t="s">
        <v>116</v>
      </c>
      <c r="D315" s="1" t="s">
        <v>22</v>
      </c>
      <c r="E315" s="1" t="s">
        <v>23</v>
      </c>
      <c r="F315" s="1" t="s">
        <v>24</v>
      </c>
      <c r="G315" s="1" t="s">
        <v>15</v>
      </c>
      <c r="H315" s="1">
        <v>3673</v>
      </c>
      <c r="I315" s="1">
        <v>855</v>
      </c>
      <c r="J315" s="2">
        <v>3140415</v>
      </c>
    </row>
    <row r="316" spans="1:10" ht="15.6" thickTop="1" thickBot="1" x14ac:dyDescent="0.35">
      <c r="A316" s="1" t="s">
        <v>399</v>
      </c>
      <c r="B316" s="1" t="s">
        <v>11</v>
      </c>
      <c r="C316" s="1" t="s">
        <v>116</v>
      </c>
      <c r="D316" s="1" t="s">
        <v>56</v>
      </c>
      <c r="E316" s="1" t="s">
        <v>117</v>
      </c>
      <c r="F316" s="1" t="s">
        <v>58</v>
      </c>
      <c r="G316" s="1" t="s">
        <v>45</v>
      </c>
      <c r="H316" s="1">
        <v>2344</v>
      </c>
      <c r="I316" s="1">
        <v>536</v>
      </c>
      <c r="J316" s="2">
        <v>1256384</v>
      </c>
    </row>
    <row r="317" spans="1:10" ht="15.6" thickTop="1" thickBot="1" x14ac:dyDescent="0.35">
      <c r="A317" s="1" t="s">
        <v>400</v>
      </c>
      <c r="B317" s="1" t="s">
        <v>11</v>
      </c>
      <c r="C317" s="1" t="s">
        <v>116</v>
      </c>
      <c r="D317" s="1" t="s">
        <v>22</v>
      </c>
      <c r="E317" s="1" t="s">
        <v>119</v>
      </c>
      <c r="F317" s="1" t="s">
        <v>90</v>
      </c>
      <c r="G317" s="1" t="s">
        <v>45</v>
      </c>
      <c r="H317" s="1">
        <v>6278</v>
      </c>
      <c r="I317" s="1">
        <v>540</v>
      </c>
      <c r="J317" s="2">
        <v>3390120</v>
      </c>
    </row>
    <row r="318" spans="1:10" ht="15.6" thickTop="1" thickBot="1" x14ac:dyDescent="0.35">
      <c r="A318" s="1" t="s">
        <v>401</v>
      </c>
      <c r="B318" s="1" t="s">
        <v>11</v>
      </c>
      <c r="C318" s="1" t="s">
        <v>116</v>
      </c>
      <c r="D318" s="1" t="s">
        <v>18</v>
      </c>
      <c r="E318" s="1" t="s">
        <v>74</v>
      </c>
      <c r="F318" s="1" t="s">
        <v>39</v>
      </c>
      <c r="G318" s="1" t="s">
        <v>45</v>
      </c>
      <c r="H318" s="1">
        <v>9561</v>
      </c>
      <c r="I318" s="1">
        <v>674</v>
      </c>
      <c r="J318" s="2">
        <v>6444114</v>
      </c>
    </row>
    <row r="319" spans="1:10" ht="15.6" thickTop="1" thickBot="1" x14ac:dyDescent="0.35">
      <c r="A319" s="1" t="s">
        <v>402</v>
      </c>
      <c r="B319" s="1" t="s">
        <v>30</v>
      </c>
      <c r="C319" s="1" t="s">
        <v>133</v>
      </c>
      <c r="D319" s="1" t="s">
        <v>13</v>
      </c>
      <c r="E319" s="1" t="s">
        <v>76</v>
      </c>
      <c r="F319" s="1" t="s">
        <v>50</v>
      </c>
      <c r="G319" s="1" t="s">
        <v>45</v>
      </c>
      <c r="H319" s="1">
        <v>2952</v>
      </c>
      <c r="I319" s="1">
        <v>640</v>
      </c>
      <c r="J319" s="2">
        <v>1889280</v>
      </c>
    </row>
    <row r="320" spans="1:10" ht="15.6" thickTop="1" thickBot="1" x14ac:dyDescent="0.35">
      <c r="A320" s="1" t="s">
        <v>403</v>
      </c>
      <c r="B320" s="1" t="s">
        <v>30</v>
      </c>
      <c r="C320" s="1" t="s">
        <v>133</v>
      </c>
      <c r="D320" s="1" t="s">
        <v>13</v>
      </c>
      <c r="E320" s="1" t="s">
        <v>79</v>
      </c>
      <c r="F320" s="1" t="s">
        <v>50</v>
      </c>
      <c r="G320" s="1" t="s">
        <v>45</v>
      </c>
      <c r="H320" s="1">
        <v>5507</v>
      </c>
      <c r="I320" s="1">
        <v>618</v>
      </c>
      <c r="J320" s="2">
        <v>3403326</v>
      </c>
    </row>
    <row r="321" spans="1:10" ht="15.6" thickTop="1" thickBot="1" x14ac:dyDescent="0.35">
      <c r="A321" s="1" t="s">
        <v>404</v>
      </c>
      <c r="B321" s="1" t="s">
        <v>30</v>
      </c>
      <c r="C321" s="1" t="s">
        <v>133</v>
      </c>
      <c r="D321" s="1" t="s">
        <v>26</v>
      </c>
      <c r="E321" s="1" t="s">
        <v>81</v>
      </c>
      <c r="F321" s="1" t="s">
        <v>28</v>
      </c>
      <c r="G321" s="1" t="s">
        <v>45</v>
      </c>
      <c r="H321" s="1">
        <v>9862</v>
      </c>
      <c r="I321" s="1">
        <v>755</v>
      </c>
      <c r="J321" s="2">
        <v>7445810</v>
      </c>
    </row>
    <row r="322" spans="1:10" ht="15.6" thickTop="1" thickBot="1" x14ac:dyDescent="0.35">
      <c r="A322" s="1" t="s">
        <v>405</v>
      </c>
      <c r="B322" s="1" t="s">
        <v>30</v>
      </c>
      <c r="C322" s="1" t="s">
        <v>133</v>
      </c>
      <c r="D322" s="1" t="s">
        <v>26</v>
      </c>
      <c r="E322" s="1" t="s">
        <v>83</v>
      </c>
      <c r="F322" s="1" t="s">
        <v>28</v>
      </c>
      <c r="G322" s="1" t="s">
        <v>45</v>
      </c>
      <c r="H322" s="1">
        <v>9694</v>
      </c>
      <c r="I322" s="1">
        <v>829</v>
      </c>
      <c r="J322" s="2">
        <v>8036326</v>
      </c>
    </row>
    <row r="323" spans="1:10" ht="15.6" thickTop="1" thickBot="1" x14ac:dyDescent="0.35">
      <c r="A323" s="1" t="s">
        <v>406</v>
      </c>
      <c r="B323" s="1" t="s">
        <v>30</v>
      </c>
      <c r="C323" s="1" t="s">
        <v>133</v>
      </c>
      <c r="D323" s="1" t="s">
        <v>13</v>
      </c>
      <c r="E323" s="1" t="s">
        <v>85</v>
      </c>
      <c r="F323" s="1" t="s">
        <v>44</v>
      </c>
      <c r="G323" s="1" t="s">
        <v>15</v>
      </c>
      <c r="H323" s="1">
        <v>6821</v>
      </c>
      <c r="I323" s="1">
        <v>919</v>
      </c>
      <c r="J323" s="2">
        <v>6268499</v>
      </c>
    </row>
    <row r="324" spans="1:10" ht="15.6" thickTop="1" thickBot="1" x14ac:dyDescent="0.35">
      <c r="A324" s="1" t="s">
        <v>407</v>
      </c>
      <c r="B324" s="1" t="s">
        <v>30</v>
      </c>
      <c r="C324" s="1" t="s">
        <v>133</v>
      </c>
      <c r="D324" s="1" t="s">
        <v>13</v>
      </c>
      <c r="E324" s="1" t="s">
        <v>87</v>
      </c>
      <c r="F324" s="1" t="s">
        <v>50</v>
      </c>
      <c r="G324" s="1" t="s">
        <v>15</v>
      </c>
      <c r="H324" s="1">
        <v>7329</v>
      </c>
      <c r="I324" s="1">
        <v>778</v>
      </c>
      <c r="J324" s="2">
        <v>5701962</v>
      </c>
    </row>
    <row r="325" spans="1:10" ht="15.6" thickTop="1" thickBot="1" x14ac:dyDescent="0.35">
      <c r="A325" s="1" t="s">
        <v>408</v>
      </c>
      <c r="B325" s="1" t="s">
        <v>30</v>
      </c>
      <c r="C325" s="1" t="s">
        <v>133</v>
      </c>
      <c r="D325" s="1" t="s">
        <v>22</v>
      </c>
      <c r="E325" s="1" t="s">
        <v>89</v>
      </c>
      <c r="F325" s="1" t="s">
        <v>90</v>
      </c>
      <c r="G325" s="1" t="s">
        <v>15</v>
      </c>
      <c r="H325" s="1">
        <v>6427</v>
      </c>
      <c r="I325" s="1">
        <v>825</v>
      </c>
      <c r="J325" s="2">
        <v>5302275</v>
      </c>
    </row>
    <row r="326" spans="1:10" ht="15.6" thickTop="1" thickBot="1" x14ac:dyDescent="0.35">
      <c r="A326" s="1" t="s">
        <v>409</v>
      </c>
      <c r="B326" s="1" t="s">
        <v>30</v>
      </c>
      <c r="C326" s="1" t="s">
        <v>133</v>
      </c>
      <c r="D326" s="1" t="s">
        <v>26</v>
      </c>
      <c r="E326" s="1" t="s">
        <v>92</v>
      </c>
      <c r="F326" s="1" t="s">
        <v>93</v>
      </c>
      <c r="G326" s="1" t="s">
        <v>15</v>
      </c>
      <c r="H326" s="1">
        <v>8915</v>
      </c>
      <c r="I326" s="1">
        <v>586</v>
      </c>
      <c r="J326" s="2">
        <v>5224190</v>
      </c>
    </row>
    <row r="327" spans="1:10" ht="15.6" thickTop="1" thickBot="1" x14ac:dyDescent="0.35">
      <c r="A327" s="1" t="s">
        <v>410</v>
      </c>
      <c r="B327" s="1" t="s">
        <v>30</v>
      </c>
      <c r="C327" s="1" t="s">
        <v>133</v>
      </c>
      <c r="D327" s="1" t="s">
        <v>18</v>
      </c>
      <c r="E327" s="1" t="s">
        <v>95</v>
      </c>
      <c r="F327" s="1" t="s">
        <v>20</v>
      </c>
      <c r="G327" s="1" t="s">
        <v>45</v>
      </c>
      <c r="H327" s="1">
        <v>4848</v>
      </c>
      <c r="I327" s="1">
        <v>556</v>
      </c>
      <c r="J327" s="2">
        <v>2695488</v>
      </c>
    </row>
    <row r="328" spans="1:10" ht="15.6" thickTop="1" thickBot="1" x14ac:dyDescent="0.35">
      <c r="A328" s="1" t="s">
        <v>411</v>
      </c>
      <c r="B328" s="1" t="s">
        <v>30</v>
      </c>
      <c r="C328" s="1" t="s">
        <v>133</v>
      </c>
      <c r="D328" s="1" t="s">
        <v>13</v>
      </c>
      <c r="E328" s="1" t="s">
        <v>97</v>
      </c>
      <c r="F328" s="1" t="s">
        <v>98</v>
      </c>
      <c r="G328" s="1" t="s">
        <v>15</v>
      </c>
      <c r="H328" s="1">
        <v>5990</v>
      </c>
      <c r="I328" s="1">
        <v>859</v>
      </c>
      <c r="J328" s="2">
        <v>5145410</v>
      </c>
    </row>
    <row r="329" spans="1:10" ht="15.6" thickTop="1" thickBot="1" x14ac:dyDescent="0.35">
      <c r="A329" s="1" t="s">
        <v>412</v>
      </c>
      <c r="B329" s="1" t="s">
        <v>30</v>
      </c>
      <c r="C329" s="1" t="s">
        <v>133</v>
      </c>
      <c r="D329" s="1" t="s">
        <v>13</v>
      </c>
      <c r="E329" s="1" t="s">
        <v>100</v>
      </c>
      <c r="F329" s="1" t="s">
        <v>101</v>
      </c>
      <c r="G329" s="1" t="s">
        <v>15</v>
      </c>
      <c r="H329" s="1">
        <v>6726</v>
      </c>
      <c r="I329" s="1">
        <v>900</v>
      </c>
      <c r="J329" s="2">
        <v>6053400</v>
      </c>
    </row>
    <row r="330" spans="1:10" ht="15.6" thickTop="1" thickBot="1" x14ac:dyDescent="0.35">
      <c r="A330" s="1" t="s">
        <v>413</v>
      </c>
      <c r="B330" s="1" t="s">
        <v>30</v>
      </c>
      <c r="C330" s="1" t="s">
        <v>133</v>
      </c>
      <c r="D330" s="1" t="s">
        <v>103</v>
      </c>
      <c r="E330" s="1" t="s">
        <v>104</v>
      </c>
      <c r="F330" s="1" t="s">
        <v>105</v>
      </c>
      <c r="G330" s="1" t="s">
        <v>15</v>
      </c>
      <c r="H330" s="1">
        <v>5686</v>
      </c>
      <c r="I330" s="1">
        <v>731</v>
      </c>
      <c r="J330" s="2">
        <v>4156466</v>
      </c>
    </row>
    <row r="331" spans="1:10" ht="15.6" thickTop="1" thickBot="1" x14ac:dyDescent="0.35">
      <c r="A331" s="3" t="s">
        <v>414</v>
      </c>
      <c r="B331" s="3" t="s">
        <v>30</v>
      </c>
      <c r="C331" s="3" t="s">
        <v>146</v>
      </c>
      <c r="D331" s="3" t="s">
        <v>13</v>
      </c>
      <c r="E331" s="3" t="s">
        <v>107</v>
      </c>
      <c r="F331" s="3" t="s">
        <v>108</v>
      </c>
      <c r="G331" s="1" t="s">
        <v>15</v>
      </c>
      <c r="H331" s="3">
        <v>5246</v>
      </c>
      <c r="I331" s="3">
        <v>653</v>
      </c>
      <c r="J331" s="4">
        <v>3425638</v>
      </c>
    </row>
    <row r="332" spans="1:10" x14ac:dyDescent="0.3">
      <c r="J332" s="5">
        <f>SUBTOTAL(9,J2:J331)</f>
        <v>1386308853</v>
      </c>
    </row>
  </sheetData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D291-C12A-455F-82CE-CCB0E6BFDAA6}">
  <dimension ref="A1:M14"/>
  <sheetViews>
    <sheetView workbookViewId="0">
      <selection activeCell="A4" sqref="A4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7.77734375" bestFit="1" customWidth="1"/>
    <col min="4" max="4" width="11.21875" bestFit="1" customWidth="1"/>
    <col min="5" max="5" width="7" bestFit="1" customWidth="1"/>
    <col min="6" max="6" width="10" bestFit="1" customWidth="1"/>
    <col min="7" max="7" width="7" bestFit="1" customWidth="1"/>
    <col min="8" max="8" width="7.77734375" bestFit="1" customWidth="1"/>
    <col min="9" max="10" width="7" bestFit="1" customWidth="1"/>
    <col min="11" max="11" width="12.44140625" bestFit="1" customWidth="1"/>
    <col min="12" max="12" width="7" bestFit="1" customWidth="1"/>
    <col min="13" max="13" width="10.77734375" bestFit="1" customWidth="1"/>
    <col min="14" max="14" width="14.88671875" bestFit="1" customWidth="1"/>
    <col min="15" max="15" width="14.44140625" bestFit="1" customWidth="1"/>
    <col min="16" max="16" width="14.88671875" bestFit="1" customWidth="1"/>
    <col min="17" max="17" width="14.44140625" bestFit="1" customWidth="1"/>
    <col min="18" max="18" width="14.88671875" bestFit="1" customWidth="1"/>
    <col min="19" max="19" width="14.44140625" bestFit="1" customWidth="1"/>
    <col min="20" max="20" width="14.88671875" bestFit="1" customWidth="1"/>
    <col min="21" max="21" width="14.44140625" bestFit="1" customWidth="1"/>
    <col min="22" max="22" width="19.6640625" bestFit="1" customWidth="1"/>
    <col min="23" max="23" width="19.21875" bestFit="1" customWidth="1"/>
    <col min="24" max="24" width="19.6640625" bestFit="1" customWidth="1"/>
    <col min="25" max="25" width="19.21875" bestFit="1" customWidth="1"/>
  </cols>
  <sheetData>
    <row r="1" spans="1:13" x14ac:dyDescent="0.3">
      <c r="A1" s="46" t="s">
        <v>5</v>
      </c>
      <c r="B1" t="s">
        <v>537</v>
      </c>
    </row>
    <row r="2" spans="1:13" x14ac:dyDescent="0.3">
      <c r="A2" s="46" t="s">
        <v>6</v>
      </c>
      <c r="B2" t="s">
        <v>537</v>
      </c>
    </row>
    <row r="4" spans="1:13" x14ac:dyDescent="0.3">
      <c r="A4" s="46" t="s">
        <v>538</v>
      </c>
      <c r="B4" s="46" t="s">
        <v>536</v>
      </c>
    </row>
    <row r="5" spans="1:13" x14ac:dyDescent="0.3">
      <c r="A5" s="46" t="s">
        <v>533</v>
      </c>
      <c r="B5" t="s">
        <v>159</v>
      </c>
      <c r="C5" t="s">
        <v>17</v>
      </c>
      <c r="D5" t="s">
        <v>178</v>
      </c>
      <c r="E5" t="s">
        <v>116</v>
      </c>
      <c r="F5" t="s">
        <v>60</v>
      </c>
      <c r="G5" t="s">
        <v>133</v>
      </c>
      <c r="H5" t="s">
        <v>12</v>
      </c>
      <c r="I5" t="s">
        <v>146</v>
      </c>
      <c r="J5" t="s">
        <v>78</v>
      </c>
      <c r="K5" t="s">
        <v>31</v>
      </c>
      <c r="L5" t="s">
        <v>534</v>
      </c>
      <c r="M5" t="s">
        <v>535</v>
      </c>
    </row>
    <row r="6" spans="1:13" x14ac:dyDescent="0.3">
      <c r="A6" s="47" t="s">
        <v>56</v>
      </c>
      <c r="B6">
        <v>16882</v>
      </c>
      <c r="D6">
        <v>28813</v>
      </c>
      <c r="E6">
        <v>18058</v>
      </c>
      <c r="F6">
        <v>4667</v>
      </c>
      <c r="G6">
        <v>33590</v>
      </c>
      <c r="H6">
        <v>16766</v>
      </c>
      <c r="I6">
        <v>45197</v>
      </c>
      <c r="J6">
        <v>16733</v>
      </c>
      <c r="M6">
        <v>180706</v>
      </c>
    </row>
    <row r="7" spans="1:13" x14ac:dyDescent="0.3">
      <c r="A7" s="47" t="s">
        <v>22</v>
      </c>
      <c r="B7">
        <v>28800</v>
      </c>
      <c r="C7">
        <v>8548</v>
      </c>
      <c r="D7">
        <v>57163</v>
      </c>
      <c r="E7">
        <v>51405</v>
      </c>
      <c r="F7">
        <v>19912</v>
      </c>
      <c r="G7">
        <v>74358</v>
      </c>
      <c r="H7">
        <v>12888</v>
      </c>
      <c r="I7">
        <v>61761</v>
      </c>
      <c r="J7">
        <v>16635</v>
      </c>
      <c r="M7">
        <v>331470</v>
      </c>
    </row>
    <row r="8" spans="1:13" x14ac:dyDescent="0.3">
      <c r="A8" s="47" t="s">
        <v>13</v>
      </c>
      <c r="B8">
        <v>36812</v>
      </c>
      <c r="C8">
        <v>11092</v>
      </c>
      <c r="D8">
        <v>87683</v>
      </c>
      <c r="E8">
        <v>104738</v>
      </c>
      <c r="F8">
        <v>15615</v>
      </c>
      <c r="G8">
        <v>151995</v>
      </c>
      <c r="H8">
        <v>20935</v>
      </c>
      <c r="I8">
        <v>83922</v>
      </c>
      <c r="J8">
        <v>49136</v>
      </c>
      <c r="K8">
        <v>13368</v>
      </c>
      <c r="M8">
        <v>575296</v>
      </c>
    </row>
    <row r="9" spans="1:13" x14ac:dyDescent="0.3">
      <c r="A9" s="47" t="s">
        <v>63</v>
      </c>
      <c r="D9">
        <v>4794</v>
      </c>
      <c r="E9">
        <v>8431</v>
      </c>
      <c r="F9">
        <v>3669</v>
      </c>
      <c r="G9">
        <v>9102</v>
      </c>
      <c r="I9">
        <v>6210</v>
      </c>
      <c r="J9">
        <v>7924</v>
      </c>
      <c r="M9">
        <v>40130</v>
      </c>
    </row>
    <row r="10" spans="1:13" x14ac:dyDescent="0.3">
      <c r="A10" s="47" t="s">
        <v>103</v>
      </c>
      <c r="B10">
        <v>1921</v>
      </c>
      <c r="D10">
        <v>8143</v>
      </c>
      <c r="E10">
        <v>14563</v>
      </c>
      <c r="G10">
        <v>11647</v>
      </c>
      <c r="H10">
        <v>6331</v>
      </c>
      <c r="I10">
        <v>5987</v>
      </c>
      <c r="J10">
        <v>3010</v>
      </c>
      <c r="M10">
        <v>51602</v>
      </c>
    </row>
    <row r="11" spans="1:13" x14ac:dyDescent="0.3">
      <c r="A11" s="47" t="s">
        <v>26</v>
      </c>
      <c r="B11">
        <v>22568</v>
      </c>
      <c r="C11">
        <v>3941</v>
      </c>
      <c r="D11">
        <v>49631</v>
      </c>
      <c r="E11">
        <v>68490</v>
      </c>
      <c r="F11">
        <v>15877</v>
      </c>
      <c r="G11">
        <v>86208</v>
      </c>
      <c r="H11">
        <v>2428</v>
      </c>
      <c r="I11">
        <v>64333</v>
      </c>
      <c r="J11">
        <v>20379</v>
      </c>
      <c r="K11">
        <v>16248</v>
      </c>
      <c r="M11">
        <v>350103</v>
      </c>
    </row>
    <row r="12" spans="1:13" x14ac:dyDescent="0.3">
      <c r="A12" s="47" t="s">
        <v>18</v>
      </c>
      <c r="B12">
        <v>9076</v>
      </c>
      <c r="C12">
        <v>8037</v>
      </c>
      <c r="D12">
        <v>63438</v>
      </c>
      <c r="E12">
        <v>58210</v>
      </c>
      <c r="F12">
        <v>20382</v>
      </c>
      <c r="G12">
        <v>80661</v>
      </c>
      <c r="H12">
        <v>5880</v>
      </c>
      <c r="I12">
        <v>39967</v>
      </c>
      <c r="J12">
        <v>27155</v>
      </c>
      <c r="K12">
        <v>18218</v>
      </c>
      <c r="M12">
        <v>331024</v>
      </c>
    </row>
    <row r="13" spans="1:13" x14ac:dyDescent="0.3">
      <c r="A13" s="47" t="s">
        <v>534</v>
      </c>
    </row>
    <row r="14" spans="1:13" x14ac:dyDescent="0.3">
      <c r="A14" s="47" t="s">
        <v>535</v>
      </c>
      <c r="B14">
        <v>116059</v>
      </c>
      <c r="C14">
        <v>31618</v>
      </c>
      <c r="D14">
        <v>299665</v>
      </c>
      <c r="E14">
        <v>323895</v>
      </c>
      <c r="F14">
        <v>80122</v>
      </c>
      <c r="G14">
        <v>447561</v>
      </c>
      <c r="H14">
        <v>65228</v>
      </c>
      <c r="I14">
        <v>307377</v>
      </c>
      <c r="J14">
        <v>140972</v>
      </c>
      <c r="K14">
        <v>47834</v>
      </c>
      <c r="M14">
        <v>1860331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7AF0-26F3-46F4-95F4-F7DF28934B06}">
  <dimension ref="A2:E13"/>
  <sheetViews>
    <sheetView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17.6640625" bestFit="1" customWidth="1"/>
    <col min="3" max="3" width="14.88671875" bestFit="1" customWidth="1"/>
    <col min="4" max="4" width="22.44140625" bestFit="1" customWidth="1"/>
    <col min="5" max="5" width="19.6640625" bestFit="1" customWidth="1"/>
    <col min="6" max="6" width="17.6640625" bestFit="1" customWidth="1"/>
    <col min="7" max="7" width="14.88671875" bestFit="1" customWidth="1"/>
    <col min="8" max="8" width="17.6640625" bestFit="1" customWidth="1"/>
    <col min="9" max="9" width="14.88671875" bestFit="1" customWidth="1"/>
    <col min="10" max="10" width="22.44140625" bestFit="1" customWidth="1"/>
    <col min="11" max="11" width="19.6640625" bestFit="1" customWidth="1"/>
  </cols>
  <sheetData>
    <row r="2" spans="1:5" x14ac:dyDescent="0.3">
      <c r="A2" s="46" t="s">
        <v>5</v>
      </c>
      <c r="B2" t="s">
        <v>537</v>
      </c>
    </row>
    <row r="3" spans="1:5" x14ac:dyDescent="0.3">
      <c r="A3" s="46" t="s">
        <v>6</v>
      </c>
      <c r="B3" t="s">
        <v>15</v>
      </c>
    </row>
    <row r="4" spans="1:5" x14ac:dyDescent="0.3">
      <c r="A4" s="46" t="s">
        <v>8</v>
      </c>
      <c r="B4" t="s">
        <v>537</v>
      </c>
    </row>
    <row r="6" spans="1:5" x14ac:dyDescent="0.3">
      <c r="B6" s="46" t="s">
        <v>536</v>
      </c>
    </row>
    <row r="7" spans="1:5" x14ac:dyDescent="0.3">
      <c r="B7" t="s">
        <v>11</v>
      </c>
      <c r="D7" t="s">
        <v>540</v>
      </c>
      <c r="E7" t="s">
        <v>539</v>
      </c>
    </row>
    <row r="8" spans="1:5" x14ac:dyDescent="0.3">
      <c r="A8" s="46" t="s">
        <v>533</v>
      </c>
      <c r="B8" t="s">
        <v>541</v>
      </c>
      <c r="C8" t="s">
        <v>538</v>
      </c>
    </row>
    <row r="9" spans="1:5" x14ac:dyDescent="0.3">
      <c r="A9" s="47" t="s">
        <v>17</v>
      </c>
      <c r="B9">
        <v>2987265</v>
      </c>
      <c r="C9">
        <v>24229</v>
      </c>
      <c r="D9">
        <v>2987265</v>
      </c>
      <c r="E9">
        <v>24229</v>
      </c>
    </row>
    <row r="10" spans="1:5" x14ac:dyDescent="0.3">
      <c r="A10" s="47" t="s">
        <v>116</v>
      </c>
      <c r="B10">
        <v>3721130.0833333335</v>
      </c>
      <c r="C10">
        <v>128505</v>
      </c>
      <c r="D10">
        <v>3721130.0833333335</v>
      </c>
      <c r="E10">
        <v>128505</v>
      </c>
    </row>
    <row r="11" spans="1:5" x14ac:dyDescent="0.3">
      <c r="A11" s="47" t="s">
        <v>12</v>
      </c>
      <c r="B11">
        <v>4477042.75</v>
      </c>
      <c r="C11">
        <v>23204</v>
      </c>
      <c r="D11">
        <v>4477042.75</v>
      </c>
      <c r="E11">
        <v>23204</v>
      </c>
    </row>
    <row r="12" spans="1:5" x14ac:dyDescent="0.3">
      <c r="A12" s="47" t="s">
        <v>78</v>
      </c>
      <c r="B12">
        <v>4132453.1176470588</v>
      </c>
      <c r="C12">
        <v>92767</v>
      </c>
      <c r="D12">
        <v>4132453.1176470588</v>
      </c>
      <c r="E12">
        <v>92767</v>
      </c>
    </row>
    <row r="13" spans="1:5" x14ac:dyDescent="0.3">
      <c r="A13" s="47" t="s">
        <v>535</v>
      </c>
      <c r="B13">
        <v>3848066.42</v>
      </c>
      <c r="C13">
        <v>268705</v>
      </c>
      <c r="D13">
        <v>3848066.42</v>
      </c>
      <c r="E13">
        <v>268705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F4CD-E240-45B6-8167-029B6EF29898}">
  <dimension ref="A1:G10"/>
  <sheetViews>
    <sheetView workbookViewId="0">
      <selection activeCell="B2" sqref="B2"/>
    </sheetView>
  </sheetViews>
  <sheetFormatPr defaultRowHeight="14.4" x14ac:dyDescent="0.3"/>
  <cols>
    <col min="1" max="1" width="29.21875" bestFit="1" customWidth="1"/>
    <col min="2" max="2" width="18.21875" customWidth="1"/>
    <col min="3" max="3" width="25.88671875" customWidth="1"/>
    <col min="4" max="4" width="13.109375" customWidth="1"/>
    <col min="5" max="5" width="13.6640625" customWidth="1"/>
    <col min="6" max="6" width="12.88671875" customWidth="1"/>
    <col min="7" max="7" width="10.44140625" bestFit="1" customWidth="1"/>
  </cols>
  <sheetData>
    <row r="1" spans="1:7" ht="2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1" x14ac:dyDescent="0.4">
      <c r="A2" s="7" t="s">
        <v>40</v>
      </c>
      <c r="B2" s="8" t="str" cm="1">
        <f t="array" ref="B2:G2">VLOOKUP($A2,actual!$A$2:$J$331,{2,3,4,5,6,7},FALSE)</f>
        <v xml:space="preserve">Fashion </v>
      </c>
      <c r="C2" s="8" t="str">
        <v>Women dress</v>
      </c>
      <c r="D2" s="8" t="str">
        <v>West</v>
      </c>
      <c r="E2" s="8" t="str">
        <v>Pune</v>
      </c>
      <c r="F2" s="8" t="str">
        <v>Maharashtra</v>
      </c>
      <c r="G2" s="8" t="str">
        <v>Male</v>
      </c>
    </row>
    <row r="3" spans="1:7" ht="21" x14ac:dyDescent="0.4">
      <c r="A3" s="7" t="s">
        <v>171</v>
      </c>
      <c r="B3" s="8" t="str" cm="1">
        <f t="array" ref="B3:G3">VLOOKUP($A3,actual!$A$2:$J$331,{2,3,4,5,6,7},FALSE)</f>
        <v xml:space="preserve">Fashion </v>
      </c>
      <c r="C3" s="8" t="str">
        <v>Suit</v>
      </c>
      <c r="D3" s="8" t="str">
        <v>South</v>
      </c>
      <c r="E3" s="8" t="str">
        <v>Chennai</v>
      </c>
      <c r="F3" s="8" t="str">
        <v>Tamil Nadu</v>
      </c>
      <c r="G3" s="8" t="str">
        <v>Female</v>
      </c>
    </row>
    <row r="4" spans="1:7" ht="21" x14ac:dyDescent="0.4">
      <c r="A4" s="7" t="s">
        <v>262</v>
      </c>
      <c r="B4" s="8" t="str" cm="1">
        <f t="array" ref="B4:G4">VLOOKUP($A4,actual!$A$2:$J$331,{2,3,4,5,6,7},FALSE)</f>
        <v xml:space="preserve">Fashion </v>
      </c>
      <c r="C4" s="8" t="str">
        <v>Suit</v>
      </c>
      <c r="D4" s="8" t="str">
        <v>Central</v>
      </c>
      <c r="E4" s="8" t="str">
        <v>Indore</v>
      </c>
      <c r="F4" s="8" t="str">
        <v>Madhya Pradesh</v>
      </c>
      <c r="G4" s="8" t="str">
        <v>Male</v>
      </c>
    </row>
    <row r="5" spans="1:7" ht="21" x14ac:dyDescent="0.4">
      <c r="A5" s="7" t="s">
        <v>200</v>
      </c>
      <c r="B5" s="8" t="str" cm="1">
        <f t="array" ref="B5:G5">VLOOKUP($A5,actual!$A$2:$J$331,{2,3,4,5,6,7},FALSE)</f>
        <v>Electronic</v>
      </c>
      <c r="C5" s="8" t="str">
        <v>Laptop</v>
      </c>
      <c r="D5" s="8" t="str">
        <v>Northeast</v>
      </c>
      <c r="E5" s="8" t="str">
        <v>Guwahati</v>
      </c>
      <c r="F5" s="8" t="str">
        <v>Assam</v>
      </c>
      <c r="G5" s="8" t="str">
        <v>Female</v>
      </c>
    </row>
    <row r="6" spans="1:7" ht="21" x14ac:dyDescent="0.4">
      <c r="A6" s="7" t="s">
        <v>405</v>
      </c>
      <c r="B6" s="8" t="str" cm="1">
        <f t="array" ref="B6:G6">VLOOKUP($A6,actual!$A$2:$J$331,{2,3,4,5,6,7},FALSE)</f>
        <v xml:space="preserve">Fashion </v>
      </c>
      <c r="C6" s="8" t="str">
        <v>Saree</v>
      </c>
      <c r="D6" s="8" t="str">
        <v>South</v>
      </c>
      <c r="E6" s="8" t="str">
        <v>Madurai</v>
      </c>
      <c r="F6" s="8" t="str">
        <v>Tamil Nadu</v>
      </c>
      <c r="G6" s="8" t="str">
        <v>Female</v>
      </c>
    </row>
    <row r="7" spans="1:7" ht="21" x14ac:dyDescent="0.4">
      <c r="A7" s="7" t="s">
        <v>392</v>
      </c>
      <c r="B7" s="8" t="str" cm="1">
        <f t="array" ref="B7:G7">VLOOKUP($A7,actual!$A$2:$J$331,{2,3,4,5,6,7},FALSE)</f>
        <v>Electronic</v>
      </c>
      <c r="C7" s="8" t="str">
        <v>Laptop</v>
      </c>
      <c r="D7" s="8" t="str">
        <v>North</v>
      </c>
      <c r="E7" s="8" t="str">
        <v>Shimla</v>
      </c>
      <c r="F7" s="8" t="str">
        <v>Himachal Pradesh</v>
      </c>
      <c r="G7" s="8" t="str">
        <v>Female</v>
      </c>
    </row>
    <row r="8" spans="1:7" ht="21" x14ac:dyDescent="0.4">
      <c r="A8" s="7" t="s">
        <v>143</v>
      </c>
      <c r="B8" s="8" t="str" cm="1">
        <f t="array" ref="B8:G8">VLOOKUP($A8,actual!$A$2:$J$331,{2,3,4,5,6,7},FALSE)</f>
        <v xml:space="preserve">Fashion </v>
      </c>
      <c r="C8" s="8" t="str">
        <v>Saree</v>
      </c>
      <c r="D8" s="8" t="str">
        <v>East</v>
      </c>
      <c r="E8" s="8" t="str">
        <v>Patna</v>
      </c>
      <c r="F8" s="8" t="str">
        <v>Bihar</v>
      </c>
      <c r="G8" s="8" t="str">
        <v>Male</v>
      </c>
    </row>
    <row r="9" spans="1:7" ht="21" x14ac:dyDescent="0.4">
      <c r="A9" s="7" t="s">
        <v>156</v>
      </c>
      <c r="B9" s="8" t="str" cm="1">
        <f t="array" ref="B9:G9">VLOOKUP($A9,actual!$A$2:$J$331,{2,3,4,5,6,7},FALSE)</f>
        <v xml:space="preserve">Fashion </v>
      </c>
      <c r="C9" s="8" t="str">
        <v>Suit</v>
      </c>
      <c r="D9" s="8" t="str">
        <v>North</v>
      </c>
      <c r="E9" s="8" t="str">
        <v>Dehradun</v>
      </c>
      <c r="F9" s="8" t="str">
        <v>Uttarakhand</v>
      </c>
      <c r="G9" s="8" t="str">
        <v>Female</v>
      </c>
    </row>
    <row r="10" spans="1:7" ht="21" x14ac:dyDescent="0.4">
      <c r="A10" s="7" t="s">
        <v>144</v>
      </c>
      <c r="B10" s="8" t="str" cm="1">
        <f t="array" ref="B10:G10">VLOOKUP($A10,actual!$A$2:$J$331,{2,3,4,5,6,7},FALSE)</f>
        <v xml:space="preserve">Fashion </v>
      </c>
      <c r="C10" s="8" t="str">
        <v>Saree</v>
      </c>
      <c r="D10" s="8" t="str">
        <v>West</v>
      </c>
      <c r="E10" s="8" t="str">
        <v>Vadodara</v>
      </c>
      <c r="F10" s="8" t="str">
        <v>Gujarat</v>
      </c>
      <c r="G10" s="8" t="str">
        <v>Male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C1D3-75CA-4E69-9388-D8E7A13BBDEE}">
  <dimension ref="A1:G10"/>
  <sheetViews>
    <sheetView zoomScaleNormal="100" workbookViewId="0">
      <selection activeCell="B2" sqref="B2:G10"/>
    </sheetView>
  </sheetViews>
  <sheetFormatPr defaultRowHeight="14.4" x14ac:dyDescent="0.3"/>
  <cols>
    <col min="1" max="1" width="29.21875" bestFit="1" customWidth="1"/>
    <col min="2" max="2" width="18.109375" customWidth="1"/>
    <col min="3" max="3" width="22.5546875" customWidth="1"/>
    <col min="4" max="4" width="16.88671875" customWidth="1"/>
    <col min="5" max="5" width="15.44140625" customWidth="1"/>
    <col min="6" max="6" width="26.5546875" customWidth="1"/>
    <col min="7" max="7" width="13.6640625" customWidth="1"/>
  </cols>
  <sheetData>
    <row r="1" spans="1:7" ht="2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1" x14ac:dyDescent="0.4">
      <c r="A2" s="7" t="s">
        <v>40</v>
      </c>
      <c r="B2" s="8" t="str" cm="1">
        <f t="array" ref="B2:G2">_xlfn.XLOOKUP($A2,actual!$A$2:$A$331,actual!$B$2:$G$331)</f>
        <v xml:space="preserve">Fashion </v>
      </c>
      <c r="C2" s="8" t="str">
        <v>Women dress</v>
      </c>
      <c r="D2" s="8" t="str">
        <v>West</v>
      </c>
      <c r="E2" s="8" t="str">
        <v>Pune</v>
      </c>
      <c r="F2" s="8" t="str">
        <v>Maharashtra</v>
      </c>
      <c r="G2" s="8" t="str">
        <v>Male</v>
      </c>
    </row>
    <row r="3" spans="1:7" ht="21" x14ac:dyDescent="0.4">
      <c r="A3" s="7" t="s">
        <v>171</v>
      </c>
      <c r="B3" s="8" t="str" cm="1">
        <f t="array" ref="B3:G3">_xlfn.XLOOKUP($A3,actual!$A$2:$A$331,actual!$B$2:$G$331)</f>
        <v xml:space="preserve">Fashion </v>
      </c>
      <c r="C3" s="8" t="str">
        <v>Suit</v>
      </c>
      <c r="D3" s="8" t="str">
        <v>South</v>
      </c>
      <c r="E3" s="8" t="str">
        <v>Chennai</v>
      </c>
      <c r="F3" s="8" t="str">
        <v>Tamil Nadu</v>
      </c>
      <c r="G3" s="8" t="str">
        <v>Female</v>
      </c>
    </row>
    <row r="4" spans="1:7" ht="21" x14ac:dyDescent="0.4">
      <c r="A4" s="7" t="s">
        <v>262</v>
      </c>
      <c r="B4" s="8" t="str" cm="1">
        <f t="array" ref="B4:G4">_xlfn.XLOOKUP($A4,actual!$A$2:$A$331,actual!$B$2:$G$331)</f>
        <v xml:space="preserve">Fashion </v>
      </c>
      <c r="C4" s="8" t="str">
        <v>Suit</v>
      </c>
      <c r="D4" s="8" t="str">
        <v>Central</v>
      </c>
      <c r="E4" s="8" t="str">
        <v>Indore</v>
      </c>
      <c r="F4" s="8" t="str">
        <v>Madhya Pradesh</v>
      </c>
      <c r="G4" s="8" t="str">
        <v>Male</v>
      </c>
    </row>
    <row r="5" spans="1:7" ht="21" x14ac:dyDescent="0.4">
      <c r="A5" s="7" t="s">
        <v>200</v>
      </c>
      <c r="B5" s="8" t="str" cm="1">
        <f t="array" ref="B5:G5">_xlfn.XLOOKUP($A5,actual!$A$2:$A$331,actual!$B$2:$G$331)</f>
        <v>Electronic</v>
      </c>
      <c r="C5" s="8" t="str">
        <v>Laptop</v>
      </c>
      <c r="D5" s="8" t="str">
        <v>Northeast</v>
      </c>
      <c r="E5" s="8" t="str">
        <v>Guwahati</v>
      </c>
      <c r="F5" s="8" t="str">
        <v>Assam</v>
      </c>
      <c r="G5" s="8" t="str">
        <v>Female</v>
      </c>
    </row>
    <row r="6" spans="1:7" ht="21" x14ac:dyDescent="0.4">
      <c r="A6" s="7" t="s">
        <v>405</v>
      </c>
      <c r="B6" s="8" t="str" cm="1">
        <f t="array" ref="B6:G6">_xlfn.XLOOKUP($A6,actual!$A$2:$A$331,actual!$B$2:$G$331)</f>
        <v xml:space="preserve">Fashion </v>
      </c>
      <c r="C6" s="8" t="str">
        <v>Saree</v>
      </c>
      <c r="D6" s="8" t="str">
        <v>South</v>
      </c>
      <c r="E6" s="8" t="str">
        <v>Madurai</v>
      </c>
      <c r="F6" s="8" t="str">
        <v>Tamil Nadu</v>
      </c>
      <c r="G6" s="8" t="str">
        <v>Female</v>
      </c>
    </row>
    <row r="7" spans="1:7" ht="21" x14ac:dyDescent="0.4">
      <c r="A7" s="7" t="s">
        <v>392</v>
      </c>
      <c r="B7" s="8" t="str" cm="1">
        <f t="array" ref="B7:G7">_xlfn.XLOOKUP($A7,actual!$A$2:$A$331,actual!$B$2:$G$331)</f>
        <v>Electronic</v>
      </c>
      <c r="C7" s="8" t="str">
        <v>Laptop</v>
      </c>
      <c r="D7" s="8" t="str">
        <v>North</v>
      </c>
      <c r="E7" s="8" t="str">
        <v>Shimla</v>
      </c>
      <c r="F7" s="8" t="str">
        <v>Himachal Pradesh</v>
      </c>
      <c r="G7" s="8" t="str">
        <v>Female</v>
      </c>
    </row>
    <row r="8" spans="1:7" ht="21" x14ac:dyDescent="0.4">
      <c r="A8" s="7" t="s">
        <v>143</v>
      </c>
      <c r="B8" s="8" t="str" cm="1">
        <f t="array" ref="B8:G8">_xlfn.XLOOKUP($A8,actual!$A$2:$A$331,actual!$B$2:$G$331)</f>
        <v xml:space="preserve">Fashion </v>
      </c>
      <c r="C8" s="8" t="str">
        <v>Saree</v>
      </c>
      <c r="D8" s="8" t="str">
        <v>East</v>
      </c>
      <c r="E8" s="8" t="str">
        <v>Patna</v>
      </c>
      <c r="F8" s="8" t="str">
        <v>Bihar</v>
      </c>
      <c r="G8" s="8" t="str">
        <v>Male</v>
      </c>
    </row>
    <row r="9" spans="1:7" ht="21" x14ac:dyDescent="0.4">
      <c r="A9" s="7" t="s">
        <v>156</v>
      </c>
      <c r="B9" s="8" t="str" cm="1">
        <f t="array" ref="B9:G9">_xlfn.XLOOKUP($A9,actual!$A$2:$A$331,actual!$B$2:$G$331)</f>
        <v xml:space="preserve">Fashion </v>
      </c>
      <c r="C9" s="8" t="str">
        <v>Suit</v>
      </c>
      <c r="D9" s="8" t="str">
        <v>North</v>
      </c>
      <c r="E9" s="8" t="str">
        <v>Dehradun</v>
      </c>
      <c r="F9" s="8" t="str">
        <v>Uttarakhand</v>
      </c>
      <c r="G9" s="8" t="str">
        <v>Female</v>
      </c>
    </row>
    <row r="10" spans="1:7" ht="21" x14ac:dyDescent="0.4">
      <c r="A10" s="7" t="s">
        <v>144</v>
      </c>
      <c r="B10" s="8" t="str" cm="1">
        <f t="array" ref="B10:G10">_xlfn.XLOOKUP($A10,actual!$A$2:$A$331,actual!$B$2:$G$331)</f>
        <v xml:space="preserve">Fashion </v>
      </c>
      <c r="C10" s="8" t="str">
        <v>Saree</v>
      </c>
      <c r="D10" s="8" t="str">
        <v>West</v>
      </c>
      <c r="E10" s="8" t="str">
        <v>Vadodara</v>
      </c>
      <c r="F10" s="8" t="str">
        <v>Gujarat</v>
      </c>
      <c r="G10" s="8" t="str">
        <v>Male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F615-C898-45BE-801D-7F57D1894209}">
  <dimension ref="A1:H10"/>
  <sheetViews>
    <sheetView workbookViewId="0">
      <selection activeCell="B2" sqref="B2"/>
    </sheetView>
  </sheetViews>
  <sheetFormatPr defaultRowHeight="14.4" x14ac:dyDescent="0.3"/>
  <cols>
    <col min="1" max="1" width="29.21875" bestFit="1" customWidth="1"/>
    <col min="2" max="2" width="20.5546875" bestFit="1" customWidth="1"/>
    <col min="3" max="3" width="19.21875" bestFit="1" customWidth="1"/>
    <col min="4" max="4" width="9.88671875" bestFit="1" customWidth="1"/>
    <col min="5" max="5" width="13.88671875" customWidth="1"/>
    <col min="6" max="6" width="18.6640625" customWidth="1"/>
    <col min="7" max="7" width="10.44140625" bestFit="1" customWidth="1"/>
  </cols>
  <sheetData>
    <row r="1" spans="1:8" ht="2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8" ht="21" x14ac:dyDescent="0.4">
      <c r="A2" s="7" t="s">
        <v>40</v>
      </c>
      <c r="B2" s="8" t="str" cm="1">
        <f t="array" ref="B2:G10">INDEX(actual!A2:J331,MATCH('Index + Match '!A2:A10,actual!A2:A331,0),MATCH('Index + Match '!B1:G1,actual!B1:G1,0))</f>
        <v>Harmony Foods</v>
      </c>
      <c r="C2" s="8" t="str">
        <v xml:space="preserve">Fashion </v>
      </c>
      <c r="D2" s="8" t="str">
        <v>Women dress</v>
      </c>
      <c r="E2" s="8" t="str">
        <v>West</v>
      </c>
      <c r="F2" s="8" t="str">
        <v>Pune</v>
      </c>
      <c r="G2" s="8" t="str">
        <v>Maharashtra</v>
      </c>
      <c r="H2" s="8"/>
    </row>
    <row r="3" spans="1:8" ht="21" x14ac:dyDescent="0.4">
      <c r="A3" s="7" t="s">
        <v>171</v>
      </c>
      <c r="B3" s="8" t="str">
        <v>Legacy Innovations</v>
      </c>
      <c r="C3" s="8" t="str">
        <v xml:space="preserve">Fashion </v>
      </c>
      <c r="D3" s="8" t="str">
        <v>Suit</v>
      </c>
      <c r="E3" s="8" t="str">
        <v>South</v>
      </c>
      <c r="F3" s="8" t="str">
        <v>Chennai</v>
      </c>
      <c r="G3" s="8" t="str">
        <v>Tamil Nadu</v>
      </c>
    </row>
    <row r="4" spans="1:8" ht="21" x14ac:dyDescent="0.4">
      <c r="A4" s="7" t="s">
        <v>262</v>
      </c>
      <c r="B4" s="8" t="str">
        <v>Apex Realty Services</v>
      </c>
      <c r="C4" s="8" t="str">
        <v xml:space="preserve">Fashion </v>
      </c>
      <c r="D4" s="8" t="str">
        <v>Suit</v>
      </c>
      <c r="E4" s="8" t="str">
        <v>Central</v>
      </c>
      <c r="F4" s="8" t="str">
        <v>Indore</v>
      </c>
      <c r="G4" s="8" t="str">
        <v>Madhya Pradesh</v>
      </c>
    </row>
    <row r="5" spans="1:8" ht="21" x14ac:dyDescent="0.4">
      <c r="A5" s="7" t="s">
        <v>200</v>
      </c>
      <c r="B5" s="8" t="str">
        <v>Apex Travel Ventures</v>
      </c>
      <c r="C5" s="8" t="str">
        <v>Electronic</v>
      </c>
      <c r="D5" s="8" t="str">
        <v>Laptop</v>
      </c>
      <c r="E5" s="8" t="str">
        <v>Northeast</v>
      </c>
      <c r="F5" s="8" t="str">
        <v>Guwahati</v>
      </c>
      <c r="G5" s="8" t="str">
        <v>Assam</v>
      </c>
    </row>
    <row r="6" spans="1:8" ht="21" x14ac:dyDescent="0.4">
      <c r="A6" s="7" t="s">
        <v>405</v>
      </c>
      <c r="B6" s="8" t="str">
        <v>Pure Health Ventures</v>
      </c>
      <c r="C6" s="8" t="str">
        <v xml:space="preserve">Fashion </v>
      </c>
      <c r="D6" s="8" t="str">
        <v>Saree</v>
      </c>
      <c r="E6" s="8" t="str">
        <v>South</v>
      </c>
      <c r="F6" s="8" t="str">
        <v>Madurai</v>
      </c>
      <c r="G6" s="8" t="str">
        <v>Tamil Nadu</v>
      </c>
    </row>
    <row r="7" spans="1:8" ht="21" x14ac:dyDescent="0.4">
      <c r="A7" s="7" t="s">
        <v>392</v>
      </c>
      <c r="B7" s="8" t="str">
        <v>Radiant Ventures</v>
      </c>
      <c r="C7" s="8" t="str">
        <v>Electronic</v>
      </c>
      <c r="D7" s="8" t="str">
        <v>Laptop</v>
      </c>
      <c r="E7" s="8" t="str">
        <v>North</v>
      </c>
      <c r="F7" s="8" t="str">
        <v>Shimla</v>
      </c>
      <c r="G7" s="8" t="str">
        <v>Himachal Pradesh</v>
      </c>
    </row>
    <row r="8" spans="1:8" ht="21" x14ac:dyDescent="0.4">
      <c r="A8" s="7" t="s">
        <v>143</v>
      </c>
      <c r="B8" s="8" t="str">
        <v>Synergy Tech Solutions</v>
      </c>
      <c r="C8" s="8" t="str">
        <v xml:space="preserve">Fashion </v>
      </c>
      <c r="D8" s="8" t="str">
        <v>Saree</v>
      </c>
      <c r="E8" s="8" t="str">
        <v>East</v>
      </c>
      <c r="F8" s="8" t="str">
        <v>Patna</v>
      </c>
      <c r="G8" s="8" t="str">
        <v>Bihar</v>
      </c>
    </row>
    <row r="9" spans="1:8" ht="21" x14ac:dyDescent="0.4">
      <c r="A9" s="7" t="s">
        <v>156</v>
      </c>
      <c r="B9" s="8" t="str">
        <v>Visionary Tours</v>
      </c>
      <c r="C9" s="8" t="str">
        <v xml:space="preserve">Fashion </v>
      </c>
      <c r="D9" s="8" t="str">
        <v>Suit</v>
      </c>
      <c r="E9" s="8" t="str">
        <v>North</v>
      </c>
      <c r="F9" s="8" t="str">
        <v>Dehradun</v>
      </c>
      <c r="G9" s="8" t="str">
        <v>Uttarakhand</v>
      </c>
    </row>
    <row r="10" spans="1:8" ht="21" x14ac:dyDescent="0.4">
      <c r="A10" s="7" t="s">
        <v>144</v>
      </c>
      <c r="B10" s="8" t="str">
        <v>Classic Heritage Crafts</v>
      </c>
      <c r="C10" s="8" t="str">
        <v xml:space="preserve">Fashion </v>
      </c>
      <c r="D10" s="8" t="str">
        <v>Saree</v>
      </c>
      <c r="E10" s="8" t="str">
        <v>West</v>
      </c>
      <c r="F10" s="8" t="str">
        <v>Vadodara</v>
      </c>
      <c r="G10" s="8" t="str">
        <v>Gujarat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AF68-F7C6-4D8C-848C-97DDCEC4DBD1}">
  <dimension ref="A2:M117"/>
  <sheetViews>
    <sheetView workbookViewId="0">
      <selection activeCell="B11" sqref="B11"/>
    </sheetView>
  </sheetViews>
  <sheetFormatPr defaultRowHeight="14.4" x14ac:dyDescent="0.3"/>
  <cols>
    <col min="2" max="2" width="10.109375" customWidth="1"/>
    <col min="3" max="3" width="15.5546875" customWidth="1"/>
    <col min="4" max="4" width="19.21875" bestFit="1" customWidth="1"/>
    <col min="5" max="5" width="13.44140625" customWidth="1"/>
    <col min="6" max="6" width="11.44140625" customWidth="1"/>
    <col min="7" max="7" width="7.6640625" bestFit="1" customWidth="1"/>
    <col min="8" max="8" width="10.44140625" bestFit="1" customWidth="1"/>
  </cols>
  <sheetData>
    <row r="2" spans="1:13" s="12" customFormat="1" ht="18" x14ac:dyDescent="0.35">
      <c r="A2"/>
      <c r="B2" s="10" t="s">
        <v>415</v>
      </c>
      <c r="C2" s="9"/>
      <c r="D2" s="9"/>
      <c r="E2" s="9"/>
      <c r="F2" s="9"/>
      <c r="G2" s="9"/>
      <c r="H2" s="9"/>
      <c r="I2" s="11"/>
      <c r="J2" s="11"/>
      <c r="K2" s="11"/>
      <c r="L2" s="11"/>
      <c r="M2" s="11"/>
    </row>
    <row r="3" spans="1:13" ht="15" thickBot="1" x14ac:dyDescent="0.35"/>
    <row r="4" spans="1:13" x14ac:dyDescent="0.3">
      <c r="B4" s="48" t="s">
        <v>11</v>
      </c>
      <c r="C4" s="49"/>
      <c r="D4" s="49"/>
      <c r="E4" s="49"/>
      <c r="F4" s="49"/>
      <c r="G4" s="49"/>
      <c r="H4" s="50"/>
    </row>
    <row r="5" spans="1:13" x14ac:dyDescent="0.3">
      <c r="B5" s="51"/>
      <c r="C5" s="52"/>
      <c r="D5" s="52"/>
      <c r="E5" s="52"/>
      <c r="F5" s="52"/>
      <c r="G5" s="52"/>
      <c r="H5" s="53"/>
    </row>
    <row r="6" spans="1:13" x14ac:dyDescent="0.3">
      <c r="B6" s="51"/>
      <c r="C6" s="52"/>
      <c r="D6" s="52"/>
      <c r="E6" s="52"/>
      <c r="F6" s="52"/>
      <c r="G6" s="52"/>
      <c r="H6" s="53"/>
    </row>
    <row r="7" spans="1:13" ht="15" thickBot="1" x14ac:dyDescent="0.35">
      <c r="B7" s="54"/>
      <c r="C7" s="55"/>
      <c r="D7" s="55"/>
      <c r="E7" s="55"/>
      <c r="F7" s="55"/>
      <c r="G7" s="55"/>
      <c r="H7" s="56"/>
    </row>
    <row r="10" spans="1:13" ht="21" x14ac:dyDescent="0.3">
      <c r="B10" s="6" t="s">
        <v>0</v>
      </c>
      <c r="C10" s="6" t="s">
        <v>1</v>
      </c>
      <c r="D10" s="6" t="s">
        <v>2</v>
      </c>
      <c r="E10" s="6" t="s">
        <v>3</v>
      </c>
      <c r="F10" s="6" t="s">
        <v>4</v>
      </c>
      <c r="G10" s="6" t="s">
        <v>5</v>
      </c>
      <c r="H10" s="6" t="s">
        <v>6</v>
      </c>
    </row>
    <row r="11" spans="1:13" x14ac:dyDescent="0.3">
      <c r="B11" t="str" cm="1">
        <f t="array" ref="B11:K117">_xlfn._xlws.FILTER(actual!A2:J331,Filter!B4=actual!B2:B331)</f>
        <v>Bharat Innovations</v>
      </c>
      <c r="C11" t="str">
        <v>Electronic</v>
      </c>
      <c r="D11" t="str">
        <v>Speaker</v>
      </c>
      <c r="E11" t="str">
        <v>North</v>
      </c>
      <c r="F11" t="str">
        <v>Delhi</v>
      </c>
      <c r="G11" t="str">
        <v>Delhi</v>
      </c>
      <c r="H11" t="str">
        <v>Male</v>
      </c>
      <c r="I11">
        <v>4292</v>
      </c>
      <c r="J11">
        <v>783</v>
      </c>
      <c r="K11">
        <v>3360636</v>
      </c>
    </row>
    <row r="12" spans="1:13" x14ac:dyDescent="0.3">
      <c r="B12" t="str">
        <v>Green Leaf Enterprises</v>
      </c>
      <c r="C12" t="str">
        <v>Electronic</v>
      </c>
      <c r="D12" t="str">
        <v>Earbuds</v>
      </c>
      <c r="E12" t="str">
        <v>West</v>
      </c>
      <c r="F12" t="str">
        <v>Mumbai</v>
      </c>
      <c r="G12" t="str">
        <v>Maharashtra</v>
      </c>
      <c r="H12" t="str">
        <v>Male</v>
      </c>
      <c r="I12">
        <v>8037</v>
      </c>
      <c r="J12">
        <v>578</v>
      </c>
      <c r="K12">
        <v>4645386</v>
      </c>
    </row>
    <row r="13" spans="1:13" x14ac:dyDescent="0.3">
      <c r="B13" t="str">
        <v>Urban Pulse Technologies</v>
      </c>
      <c r="C13" t="str">
        <v>Electronic</v>
      </c>
      <c r="D13" t="str">
        <v>Earbuds</v>
      </c>
      <c r="E13" t="str">
        <v>East</v>
      </c>
      <c r="F13" t="str">
        <v>Kolkata</v>
      </c>
      <c r="G13" t="str">
        <v>West Bengal</v>
      </c>
      <c r="H13" t="str">
        <v>Male</v>
      </c>
      <c r="I13">
        <v>2415</v>
      </c>
      <c r="J13">
        <v>631</v>
      </c>
      <c r="K13">
        <v>1523865</v>
      </c>
    </row>
    <row r="14" spans="1:13" x14ac:dyDescent="0.3">
      <c r="B14" t="str">
        <v>Mystic India Exports</v>
      </c>
      <c r="C14" t="str">
        <v>Electronic</v>
      </c>
      <c r="D14" t="str">
        <v>Earbuds</v>
      </c>
      <c r="E14" t="str">
        <v>South</v>
      </c>
      <c r="F14" t="str">
        <v>Chennai</v>
      </c>
      <c r="G14" t="str">
        <v>Tamil Nadu</v>
      </c>
      <c r="H14" t="str">
        <v>Male</v>
      </c>
      <c r="I14">
        <v>3941</v>
      </c>
      <c r="J14">
        <v>905</v>
      </c>
      <c r="K14">
        <v>3566605</v>
      </c>
    </row>
    <row r="15" spans="1:13" x14ac:dyDescent="0.3">
      <c r="B15" t="str">
        <v>Pure Essence Skincare</v>
      </c>
      <c r="C15" t="str">
        <v>Electronic</v>
      </c>
      <c r="D15" t="str">
        <v>Speaker</v>
      </c>
      <c r="E15" t="str">
        <v>North</v>
      </c>
      <c r="F15" t="str">
        <v>Jaipur</v>
      </c>
      <c r="G15" t="str">
        <v>Rajasthan</v>
      </c>
      <c r="H15" t="str">
        <v>Female</v>
      </c>
      <c r="I15">
        <v>2678</v>
      </c>
      <c r="J15">
        <v>567</v>
      </c>
      <c r="K15">
        <v>1518426</v>
      </c>
    </row>
    <row r="16" spans="1:13" x14ac:dyDescent="0.3">
      <c r="B16" t="str">
        <v>Zenith Construction Co.</v>
      </c>
      <c r="C16" t="str">
        <v>Electronic</v>
      </c>
      <c r="D16" t="str">
        <v>Speaker</v>
      </c>
      <c r="E16" t="str">
        <v>West</v>
      </c>
      <c r="F16" t="str">
        <v>Surat</v>
      </c>
      <c r="G16" t="str">
        <v>Gujarat</v>
      </c>
      <c r="H16" t="str">
        <v>Female</v>
      </c>
      <c r="I16">
        <v>1631</v>
      </c>
      <c r="J16">
        <v>508</v>
      </c>
      <c r="K16">
        <v>828548</v>
      </c>
    </row>
    <row r="17" spans="2:11" x14ac:dyDescent="0.3">
      <c r="B17" t="str">
        <v>Radiant Health Systems</v>
      </c>
      <c r="C17" t="str">
        <v>Electronic</v>
      </c>
      <c r="D17" t="str">
        <v>Speaker</v>
      </c>
      <c r="E17" t="str">
        <v>North</v>
      </c>
      <c r="F17" t="str">
        <v>Lucknow</v>
      </c>
      <c r="G17" t="str">
        <v>Uttar Pradesh</v>
      </c>
      <c r="H17" t="str">
        <v>Female</v>
      </c>
      <c r="I17">
        <v>4171</v>
      </c>
      <c r="J17">
        <v>643</v>
      </c>
      <c r="K17">
        <v>2681953</v>
      </c>
    </row>
    <row r="18" spans="2:11" x14ac:dyDescent="0.3">
      <c r="B18" t="str">
        <v>Divine Creations</v>
      </c>
      <c r="C18" t="str">
        <v>Electronic</v>
      </c>
      <c r="D18" t="str">
        <v>Speaker</v>
      </c>
      <c r="E18" t="str">
        <v>North</v>
      </c>
      <c r="F18" t="str">
        <v>Kanpur</v>
      </c>
      <c r="G18" t="str">
        <v>Uttar Pradesh</v>
      </c>
      <c r="H18" t="str">
        <v>Female</v>
      </c>
      <c r="I18">
        <v>4283</v>
      </c>
      <c r="J18">
        <v>804</v>
      </c>
      <c r="K18">
        <v>3443532</v>
      </c>
    </row>
    <row r="19" spans="2:11" x14ac:dyDescent="0.3">
      <c r="B19" t="str">
        <v>Metro Tech Solutions</v>
      </c>
      <c r="C19" t="str">
        <v>Electronic</v>
      </c>
      <c r="D19" t="str">
        <v>Speaker</v>
      </c>
      <c r="E19" t="str">
        <v>West</v>
      </c>
      <c r="F19" t="str">
        <v>Nagpur</v>
      </c>
      <c r="G19" t="str">
        <v>Maharashtra</v>
      </c>
      <c r="H19" t="str">
        <v>Female</v>
      </c>
      <c r="I19">
        <v>4249</v>
      </c>
      <c r="J19">
        <v>842</v>
      </c>
      <c r="K19">
        <v>3577658</v>
      </c>
    </row>
    <row r="20" spans="2:11" x14ac:dyDescent="0.3">
      <c r="B20" t="str">
        <v>True Path Logistics</v>
      </c>
      <c r="C20" t="str">
        <v>Electronic</v>
      </c>
      <c r="D20" t="str">
        <v>Speaker</v>
      </c>
      <c r="E20" t="str">
        <v>Central</v>
      </c>
      <c r="F20" t="str">
        <v>Indore</v>
      </c>
      <c r="G20" t="str">
        <v>Madhya Pradesh</v>
      </c>
      <c r="H20" t="str">
        <v>Female</v>
      </c>
      <c r="I20">
        <v>1902</v>
      </c>
      <c r="J20">
        <v>671</v>
      </c>
      <c r="K20">
        <v>1276242</v>
      </c>
    </row>
    <row r="21" spans="2:11" x14ac:dyDescent="0.3">
      <c r="B21" t="str">
        <v>Prestige Automobiles</v>
      </c>
      <c r="C21" t="str">
        <v>Electronic</v>
      </c>
      <c r="D21" t="str">
        <v>TV</v>
      </c>
      <c r="E21" t="str">
        <v>North</v>
      </c>
      <c r="F21" t="str">
        <v>Meerut</v>
      </c>
      <c r="G21" t="str">
        <v>Uttar Pradesh</v>
      </c>
      <c r="H21" t="str">
        <v>Male</v>
      </c>
      <c r="I21">
        <v>9633</v>
      </c>
      <c r="J21">
        <v>891</v>
      </c>
      <c r="K21">
        <v>8583003</v>
      </c>
    </row>
    <row r="22" spans="2:11" x14ac:dyDescent="0.3">
      <c r="B22" t="str">
        <v>Elite Marketing Solutions</v>
      </c>
      <c r="C22" t="str">
        <v>Electronic</v>
      </c>
      <c r="D22" t="str">
        <v>TV</v>
      </c>
      <c r="E22" t="str">
        <v>South</v>
      </c>
      <c r="F22" t="str">
        <v>Coimbatore</v>
      </c>
      <c r="G22" t="str">
        <v>Tamil Nadu</v>
      </c>
      <c r="H22" t="str">
        <v>Male</v>
      </c>
      <c r="I22">
        <v>4332</v>
      </c>
      <c r="J22">
        <v>858</v>
      </c>
      <c r="K22">
        <v>3716856</v>
      </c>
    </row>
    <row r="23" spans="2:11" x14ac:dyDescent="0.3">
      <c r="B23" t="str">
        <v>Natural Bliss Beverages</v>
      </c>
      <c r="C23" t="str">
        <v>Electronic</v>
      </c>
      <c r="D23" t="str">
        <v>TV</v>
      </c>
      <c r="E23" t="str">
        <v>South</v>
      </c>
      <c r="F23" t="str">
        <v>Madurai</v>
      </c>
      <c r="G23" t="str">
        <v>Tamil Nadu</v>
      </c>
      <c r="H23" t="str">
        <v>Male</v>
      </c>
      <c r="I23">
        <v>1995</v>
      </c>
      <c r="J23">
        <v>897</v>
      </c>
      <c r="K23">
        <v>1789515</v>
      </c>
    </row>
    <row r="24" spans="2:11" x14ac:dyDescent="0.3">
      <c r="B24" t="str">
        <v>Crystal Clear Solutions</v>
      </c>
      <c r="C24" t="str">
        <v>Electronic</v>
      </c>
      <c r="D24" t="str">
        <v>TV</v>
      </c>
      <c r="E24" t="str">
        <v>North</v>
      </c>
      <c r="F24" t="str">
        <v>Jodhpur</v>
      </c>
      <c r="G24" t="str">
        <v>Rajasthan</v>
      </c>
      <c r="H24" t="str">
        <v>Female</v>
      </c>
      <c r="I24">
        <v>3691</v>
      </c>
      <c r="J24">
        <v>940</v>
      </c>
      <c r="K24">
        <v>3469540</v>
      </c>
    </row>
    <row r="25" spans="2:11" x14ac:dyDescent="0.3">
      <c r="B25" t="str">
        <v>Modern Trends Fashion</v>
      </c>
      <c r="C25" t="str">
        <v>Electronic</v>
      </c>
      <c r="D25" t="str">
        <v>TV</v>
      </c>
      <c r="E25" t="str">
        <v>North</v>
      </c>
      <c r="F25" t="str">
        <v>Varanasi</v>
      </c>
      <c r="G25" t="str">
        <v>Uttar Pradesh</v>
      </c>
      <c r="H25" t="str">
        <v>Female</v>
      </c>
      <c r="I25">
        <v>2570</v>
      </c>
      <c r="J25">
        <v>704</v>
      </c>
      <c r="K25">
        <v>1809280</v>
      </c>
    </row>
    <row r="26" spans="2:11" x14ac:dyDescent="0.3">
      <c r="B26" t="str">
        <v>Heritage Crafts</v>
      </c>
      <c r="C26" t="str">
        <v>Electronic</v>
      </c>
      <c r="D26" t="str">
        <v>TV</v>
      </c>
      <c r="E26" t="str">
        <v>East</v>
      </c>
      <c r="F26" t="str">
        <v>Ranchi</v>
      </c>
      <c r="G26" t="str">
        <v>Jharkhand</v>
      </c>
      <c r="H26" t="str">
        <v>Female</v>
      </c>
      <c r="I26">
        <v>2952</v>
      </c>
      <c r="J26">
        <v>972</v>
      </c>
      <c r="K26">
        <v>2869344</v>
      </c>
    </row>
    <row r="27" spans="2:11" x14ac:dyDescent="0.3">
      <c r="B27" t="str">
        <v>Future Insights Analytics</v>
      </c>
      <c r="C27" t="str">
        <v>Electronic</v>
      </c>
      <c r="D27" t="str">
        <v>TV</v>
      </c>
      <c r="E27" t="str">
        <v>South</v>
      </c>
      <c r="F27" t="str">
        <v>Kochi</v>
      </c>
      <c r="G27" t="str">
        <v>Kerala</v>
      </c>
      <c r="H27" t="str">
        <v>Female</v>
      </c>
      <c r="I27">
        <v>1992</v>
      </c>
      <c r="J27">
        <v>538</v>
      </c>
      <c r="K27">
        <v>1071696</v>
      </c>
    </row>
    <row r="28" spans="2:11" x14ac:dyDescent="0.3">
      <c r="B28" t="str">
        <v>Emerald Estate Developers</v>
      </c>
      <c r="C28" t="str">
        <v>Electronic</v>
      </c>
      <c r="D28" t="str">
        <v>TV</v>
      </c>
      <c r="E28" t="str">
        <v>West</v>
      </c>
      <c r="F28" t="str">
        <v>Aurangabad</v>
      </c>
      <c r="G28" t="str">
        <v>Maharashtra</v>
      </c>
      <c r="H28" t="str">
        <v>Female</v>
      </c>
      <c r="I28">
        <v>2907</v>
      </c>
      <c r="J28">
        <v>750</v>
      </c>
      <c r="K28">
        <v>2180250</v>
      </c>
    </row>
    <row r="29" spans="2:11" x14ac:dyDescent="0.3">
      <c r="B29" t="str">
        <v>Starlight Media Group</v>
      </c>
      <c r="C29" t="str">
        <v>Electronic</v>
      </c>
      <c r="D29" t="str">
        <v>TV</v>
      </c>
      <c r="E29" t="str">
        <v>North</v>
      </c>
      <c r="F29" t="str">
        <v>Shimla</v>
      </c>
      <c r="G29" t="str">
        <v>Himachal Pradesh</v>
      </c>
      <c r="H29" t="str">
        <v>Female</v>
      </c>
      <c r="I29">
        <v>2936</v>
      </c>
      <c r="J29">
        <v>558</v>
      </c>
      <c r="K29">
        <v>1638288</v>
      </c>
    </row>
    <row r="30" spans="2:11" x14ac:dyDescent="0.3">
      <c r="B30" t="str">
        <v>Supreme Electronics</v>
      </c>
      <c r="C30" t="str">
        <v>Electronic</v>
      </c>
      <c r="D30" t="str">
        <v>TV</v>
      </c>
      <c r="E30" t="str">
        <v>North</v>
      </c>
      <c r="F30" t="str">
        <v>Dehradun</v>
      </c>
      <c r="G30" t="str">
        <v>Uttarakhand</v>
      </c>
      <c r="H30" t="str">
        <v>Female</v>
      </c>
      <c r="I30">
        <v>1784</v>
      </c>
      <c r="J30">
        <v>799</v>
      </c>
      <c r="K30">
        <v>1425416</v>
      </c>
    </row>
    <row r="31" spans="2:11" x14ac:dyDescent="0.3">
      <c r="B31" t="str">
        <v>Optimum Wellness</v>
      </c>
      <c r="C31" t="str">
        <v>Electronic</v>
      </c>
      <c r="D31" t="str">
        <v>TV</v>
      </c>
      <c r="E31" t="str">
        <v>Northeast</v>
      </c>
      <c r="F31" t="str">
        <v>Guwahati</v>
      </c>
      <c r="G31" t="str">
        <v>Assam</v>
      </c>
      <c r="H31" t="str">
        <v>Male</v>
      </c>
      <c r="I31">
        <v>3010</v>
      </c>
      <c r="J31">
        <v>603</v>
      </c>
      <c r="K31">
        <v>1815030</v>
      </c>
    </row>
    <row r="32" spans="2:11" x14ac:dyDescent="0.3">
      <c r="B32" t="str">
        <v>Zenith Books Publishing</v>
      </c>
      <c r="C32" t="str">
        <v>Electronic</v>
      </c>
      <c r="D32" t="str">
        <v>TV</v>
      </c>
      <c r="E32" t="str">
        <v>North</v>
      </c>
      <c r="F32" t="str">
        <v>Amritsar</v>
      </c>
      <c r="G32" t="str">
        <v>Punjab</v>
      </c>
      <c r="H32" t="str">
        <v>Male</v>
      </c>
      <c r="I32">
        <v>9118</v>
      </c>
      <c r="J32">
        <v>694</v>
      </c>
      <c r="K32">
        <v>6327892</v>
      </c>
    </row>
    <row r="33" spans="2:11" x14ac:dyDescent="0.3">
      <c r="B33" t="str">
        <v>Pinnacle Innovations</v>
      </c>
      <c r="C33" t="str">
        <v>Electronic</v>
      </c>
      <c r="D33" t="str">
        <v>TV</v>
      </c>
      <c r="E33" t="str">
        <v>Central</v>
      </c>
      <c r="F33" t="str">
        <v>Raipur</v>
      </c>
      <c r="G33" t="str">
        <v>Chhattisgarh</v>
      </c>
      <c r="H33" t="str">
        <v>Male</v>
      </c>
      <c r="I33">
        <v>7291</v>
      </c>
      <c r="J33">
        <v>837</v>
      </c>
      <c r="K33">
        <v>6102567</v>
      </c>
    </row>
    <row r="34" spans="2:11" x14ac:dyDescent="0.3">
      <c r="B34" t="str">
        <v>Apex Travel Services</v>
      </c>
      <c r="C34" t="str">
        <v>Electronic</v>
      </c>
      <c r="D34" t="str">
        <v>TV</v>
      </c>
      <c r="E34" t="str">
        <v>East</v>
      </c>
      <c r="F34" t="str">
        <v>Durgapur</v>
      </c>
      <c r="G34" t="str">
        <v>West Bengal</v>
      </c>
      <c r="H34" t="str">
        <v>Male</v>
      </c>
      <c r="I34">
        <v>3141</v>
      </c>
      <c r="J34">
        <v>834</v>
      </c>
      <c r="K34">
        <v>2619594</v>
      </c>
    </row>
    <row r="35" spans="2:11" x14ac:dyDescent="0.3">
      <c r="B35" t="str">
        <v>Golden Era Realty</v>
      </c>
      <c r="C35" t="str">
        <v>Electronic</v>
      </c>
      <c r="D35" t="str">
        <v>TV</v>
      </c>
      <c r="E35" t="str">
        <v>East</v>
      </c>
      <c r="F35" t="str">
        <v>Kolkata</v>
      </c>
      <c r="G35" t="str">
        <v>West Bengal</v>
      </c>
      <c r="H35" t="str">
        <v>Female</v>
      </c>
      <c r="I35">
        <v>7170</v>
      </c>
      <c r="J35">
        <v>521</v>
      </c>
      <c r="K35">
        <v>3735570</v>
      </c>
    </row>
    <row r="36" spans="2:11" x14ac:dyDescent="0.3">
      <c r="B36" t="str">
        <v>Radiant Jewelry</v>
      </c>
      <c r="C36" t="str">
        <v>Electronic</v>
      </c>
      <c r="D36" t="str">
        <v>Laptop</v>
      </c>
      <c r="E36" t="str">
        <v>Central</v>
      </c>
      <c r="F36" t="str">
        <v>Gwalior</v>
      </c>
      <c r="G36" t="str">
        <v>Madhya Pradesh</v>
      </c>
      <c r="H36" t="str">
        <v>Female</v>
      </c>
      <c r="I36">
        <v>4724</v>
      </c>
      <c r="J36">
        <v>951</v>
      </c>
      <c r="K36">
        <v>4492524</v>
      </c>
    </row>
    <row r="37" spans="2:11" x14ac:dyDescent="0.3">
      <c r="B37" t="str">
        <v>Infinity Ventures</v>
      </c>
      <c r="C37" t="str">
        <v>Electronic</v>
      </c>
      <c r="D37" t="str">
        <v>Laptop</v>
      </c>
      <c r="E37" t="str">
        <v>East</v>
      </c>
      <c r="F37" t="str">
        <v>Jamshedpur</v>
      </c>
      <c r="G37" t="str">
        <v>Jharkhand</v>
      </c>
      <c r="H37" t="str">
        <v>Female</v>
      </c>
      <c r="I37">
        <v>5398</v>
      </c>
      <c r="J37">
        <v>832</v>
      </c>
      <c r="K37">
        <v>4491136</v>
      </c>
    </row>
    <row r="38" spans="2:11" x14ac:dyDescent="0.3">
      <c r="B38" t="str">
        <v>Royal Taste Foods</v>
      </c>
      <c r="C38" t="str">
        <v>Electronic</v>
      </c>
      <c r="D38" t="str">
        <v>Laptop</v>
      </c>
      <c r="E38" t="str">
        <v>East</v>
      </c>
      <c r="F38" t="str">
        <v>Siliguri</v>
      </c>
      <c r="G38" t="str">
        <v>West Bengal</v>
      </c>
      <c r="H38" t="str">
        <v>Female</v>
      </c>
      <c r="I38">
        <v>9466</v>
      </c>
      <c r="J38">
        <v>933</v>
      </c>
      <c r="K38">
        <v>8831778</v>
      </c>
    </row>
    <row r="39" spans="2:11" x14ac:dyDescent="0.3">
      <c r="B39" t="str">
        <v>Harmony Homes</v>
      </c>
      <c r="C39" t="str">
        <v>Electronic</v>
      </c>
      <c r="D39" t="str">
        <v>Laptop</v>
      </c>
      <c r="E39" t="str">
        <v>South</v>
      </c>
      <c r="F39" t="str">
        <v>Mangalore</v>
      </c>
      <c r="G39" t="str">
        <v>Karnataka</v>
      </c>
      <c r="H39" t="str">
        <v>Female</v>
      </c>
      <c r="I39">
        <v>4168</v>
      </c>
      <c r="J39">
        <v>769</v>
      </c>
      <c r="K39">
        <v>3205192</v>
      </c>
    </row>
    <row r="40" spans="2:11" x14ac:dyDescent="0.3">
      <c r="B40" t="str">
        <v>Urban Edge Consulting</v>
      </c>
      <c r="C40" t="str">
        <v>Electronic</v>
      </c>
      <c r="D40" t="str">
        <v>Laptop</v>
      </c>
      <c r="E40" t="str">
        <v>North</v>
      </c>
      <c r="F40" t="str">
        <v>Delhi</v>
      </c>
      <c r="G40" t="str">
        <v>Delhi</v>
      </c>
      <c r="H40" t="str">
        <v>Female</v>
      </c>
      <c r="I40">
        <v>5773</v>
      </c>
      <c r="J40">
        <v>627</v>
      </c>
      <c r="K40">
        <v>3619671</v>
      </c>
    </row>
    <row r="41" spans="2:11" x14ac:dyDescent="0.3">
      <c r="B41" t="str">
        <v>Prime Tech Innovations</v>
      </c>
      <c r="C41" t="str">
        <v>Electronic</v>
      </c>
      <c r="D41" t="str">
        <v>Laptop</v>
      </c>
      <c r="E41" t="str">
        <v>West</v>
      </c>
      <c r="F41" t="str">
        <v>Mumbai</v>
      </c>
      <c r="G41" t="str">
        <v>Maharashtra</v>
      </c>
      <c r="H41" t="str">
        <v>Female</v>
      </c>
      <c r="I41">
        <v>8417</v>
      </c>
      <c r="J41">
        <v>918</v>
      </c>
      <c r="K41">
        <v>7726806</v>
      </c>
    </row>
    <row r="42" spans="2:11" x14ac:dyDescent="0.3">
      <c r="B42" t="str">
        <v>Legacy Designs</v>
      </c>
      <c r="C42" t="str">
        <v>Electronic</v>
      </c>
      <c r="D42" t="str">
        <v>Laptop</v>
      </c>
      <c r="E42" t="str">
        <v>East</v>
      </c>
      <c r="F42" t="str">
        <v>Kolkata</v>
      </c>
      <c r="G42" t="str">
        <v>West Bengal</v>
      </c>
      <c r="H42" t="str">
        <v>Female</v>
      </c>
      <c r="I42">
        <v>4691</v>
      </c>
      <c r="J42">
        <v>901</v>
      </c>
      <c r="K42">
        <v>4226591</v>
      </c>
    </row>
    <row r="43" spans="2:11" x14ac:dyDescent="0.3">
      <c r="B43" t="str">
        <v>Virtue Enterprises</v>
      </c>
      <c r="C43" t="str">
        <v>Electronic</v>
      </c>
      <c r="D43" t="str">
        <v>Laptop</v>
      </c>
      <c r="E43" t="str">
        <v>South</v>
      </c>
      <c r="F43" t="str">
        <v>Chennai</v>
      </c>
      <c r="G43" t="str">
        <v>Tamil Nadu</v>
      </c>
      <c r="H43" t="str">
        <v>Female</v>
      </c>
      <c r="I43">
        <v>5945</v>
      </c>
      <c r="J43">
        <v>887</v>
      </c>
      <c r="K43">
        <v>5273215</v>
      </c>
    </row>
    <row r="44" spans="2:11" x14ac:dyDescent="0.3">
      <c r="B44" t="str">
        <v>Radiant Health Club</v>
      </c>
      <c r="C44" t="str">
        <v>Electronic</v>
      </c>
      <c r="D44" t="str">
        <v>Laptop</v>
      </c>
      <c r="E44" t="str">
        <v>South</v>
      </c>
      <c r="F44" t="str">
        <v>Bengaluru</v>
      </c>
      <c r="G44" t="str">
        <v>Karnataka</v>
      </c>
      <c r="H44" t="str">
        <v>Female</v>
      </c>
      <c r="I44">
        <v>6807</v>
      </c>
      <c r="J44">
        <v>607</v>
      </c>
      <c r="K44">
        <v>4131849</v>
      </c>
    </row>
    <row r="45" spans="2:11" x14ac:dyDescent="0.3">
      <c r="B45" t="str">
        <v>Bright Horizon Ventures</v>
      </c>
      <c r="C45" t="str">
        <v>Electronic</v>
      </c>
      <c r="D45" t="str">
        <v>Laptop</v>
      </c>
      <c r="E45" t="str">
        <v>South</v>
      </c>
      <c r="F45" t="str">
        <v>Hyderabad</v>
      </c>
      <c r="G45" t="str">
        <v>Telangana</v>
      </c>
      <c r="H45" t="str">
        <v>Male</v>
      </c>
      <c r="I45">
        <v>3546</v>
      </c>
      <c r="J45">
        <v>562</v>
      </c>
      <c r="K45">
        <v>1992852</v>
      </c>
    </row>
    <row r="46" spans="2:11" x14ac:dyDescent="0.3">
      <c r="B46" t="str">
        <v>Modern Lifestyle Products</v>
      </c>
      <c r="C46" t="str">
        <v>Electronic</v>
      </c>
      <c r="D46" t="str">
        <v>Laptop</v>
      </c>
      <c r="E46" t="str">
        <v>West</v>
      </c>
      <c r="F46" t="str">
        <v>Ahmedabad</v>
      </c>
      <c r="G46" t="str">
        <v>Gujarat</v>
      </c>
      <c r="H46" t="str">
        <v>Male</v>
      </c>
      <c r="I46">
        <v>9463</v>
      </c>
      <c r="J46">
        <v>615</v>
      </c>
      <c r="K46">
        <v>5819745</v>
      </c>
    </row>
    <row r="47" spans="2:11" x14ac:dyDescent="0.3">
      <c r="B47" t="str">
        <v>Nexus Trading Co.</v>
      </c>
      <c r="C47" t="str">
        <v>Electronic</v>
      </c>
      <c r="D47" t="str">
        <v>Laptop</v>
      </c>
      <c r="E47" t="str">
        <v>West</v>
      </c>
      <c r="F47" t="str">
        <v>Pune</v>
      </c>
      <c r="G47" t="str">
        <v>Maharashtra</v>
      </c>
      <c r="H47" t="str">
        <v>Male</v>
      </c>
      <c r="I47">
        <v>9927</v>
      </c>
      <c r="J47">
        <v>631</v>
      </c>
      <c r="K47">
        <v>6263937</v>
      </c>
    </row>
    <row r="48" spans="2:11" x14ac:dyDescent="0.3">
      <c r="B48" t="str">
        <v>Radiance Health and Wellness</v>
      </c>
      <c r="C48" t="str">
        <v>Electronic</v>
      </c>
      <c r="D48" t="str">
        <v>Laptop</v>
      </c>
      <c r="E48" t="str">
        <v>North</v>
      </c>
      <c r="F48" t="str">
        <v>Meerut</v>
      </c>
      <c r="G48" t="str">
        <v>Uttar Pradesh</v>
      </c>
      <c r="H48" t="str">
        <v>Male</v>
      </c>
      <c r="I48">
        <v>6596</v>
      </c>
      <c r="J48">
        <v>501</v>
      </c>
      <c r="K48">
        <v>3304596</v>
      </c>
    </row>
    <row r="49" spans="2:11" x14ac:dyDescent="0.3">
      <c r="B49" t="str">
        <v>Legacy Auto Works</v>
      </c>
      <c r="C49" t="str">
        <v>Electronic</v>
      </c>
      <c r="D49" t="str">
        <v>Laptop</v>
      </c>
      <c r="E49" t="str">
        <v>South</v>
      </c>
      <c r="F49" t="str">
        <v>Coimbatore</v>
      </c>
      <c r="G49" t="str">
        <v>Tamil Nadu</v>
      </c>
      <c r="H49" t="str">
        <v>Male</v>
      </c>
      <c r="I49">
        <v>3074</v>
      </c>
      <c r="J49">
        <v>869</v>
      </c>
      <c r="K49">
        <v>2671306</v>
      </c>
    </row>
    <row r="50" spans="2:11" x14ac:dyDescent="0.3">
      <c r="B50" t="str">
        <v>Prime Essence Creations</v>
      </c>
      <c r="C50" t="str">
        <v>Electronic</v>
      </c>
      <c r="D50" t="str">
        <v>Laptop</v>
      </c>
      <c r="E50" t="str">
        <v>South</v>
      </c>
      <c r="F50" t="str">
        <v>Madurai</v>
      </c>
      <c r="G50" t="str">
        <v>Tamil Nadu</v>
      </c>
      <c r="H50" t="str">
        <v>Male</v>
      </c>
      <c r="I50">
        <v>6116</v>
      </c>
      <c r="J50">
        <v>699</v>
      </c>
      <c r="K50">
        <v>4275084</v>
      </c>
    </row>
    <row r="51" spans="2:11" x14ac:dyDescent="0.3">
      <c r="B51" t="str">
        <v>Quantum Ventures</v>
      </c>
      <c r="C51" t="str">
        <v>Electronic</v>
      </c>
      <c r="D51" t="str">
        <v>Laptop</v>
      </c>
      <c r="E51" t="str">
        <v>North</v>
      </c>
      <c r="F51" t="str">
        <v>Jodhpur</v>
      </c>
      <c r="G51" t="str">
        <v>Rajasthan</v>
      </c>
      <c r="H51" t="str">
        <v>Male</v>
      </c>
      <c r="I51">
        <v>5729</v>
      </c>
      <c r="J51">
        <v>753</v>
      </c>
      <c r="K51">
        <v>4313937</v>
      </c>
    </row>
    <row r="52" spans="2:11" x14ac:dyDescent="0.3">
      <c r="B52" t="str">
        <v>Horizon Tech Solutions</v>
      </c>
      <c r="C52" t="str">
        <v>Electronic</v>
      </c>
      <c r="D52" t="str">
        <v>Laptop</v>
      </c>
      <c r="E52" t="str">
        <v>North</v>
      </c>
      <c r="F52" t="str">
        <v>Varanasi</v>
      </c>
      <c r="G52" t="str">
        <v>Uttar Pradesh</v>
      </c>
      <c r="H52" t="str">
        <v>Female</v>
      </c>
      <c r="I52">
        <v>7181</v>
      </c>
      <c r="J52">
        <v>668</v>
      </c>
      <c r="K52">
        <v>4796908</v>
      </c>
    </row>
    <row r="53" spans="2:11" x14ac:dyDescent="0.3">
      <c r="B53" t="str">
        <v>Urban Legends Apparel</v>
      </c>
      <c r="C53" t="str">
        <v>Electronic</v>
      </c>
      <c r="D53" t="str">
        <v>Laptop</v>
      </c>
      <c r="E53" t="str">
        <v>East</v>
      </c>
      <c r="F53" t="str">
        <v>Ranchi</v>
      </c>
      <c r="G53" t="str">
        <v>Jharkhand</v>
      </c>
      <c r="H53" t="str">
        <v>Female</v>
      </c>
      <c r="I53">
        <v>9034</v>
      </c>
      <c r="J53">
        <v>730</v>
      </c>
      <c r="K53">
        <v>6594820</v>
      </c>
    </row>
    <row r="54" spans="2:11" x14ac:dyDescent="0.3">
      <c r="B54" t="str">
        <v>Pure Bliss Beverages</v>
      </c>
      <c r="C54" t="str">
        <v>Electronic</v>
      </c>
      <c r="D54" t="str">
        <v>Laptop</v>
      </c>
      <c r="E54" t="str">
        <v>South</v>
      </c>
      <c r="F54" t="str">
        <v>Kochi</v>
      </c>
      <c r="G54" t="str">
        <v>Kerala</v>
      </c>
      <c r="H54" t="str">
        <v>Female</v>
      </c>
      <c r="I54">
        <v>6005</v>
      </c>
      <c r="J54">
        <v>739</v>
      </c>
      <c r="K54">
        <v>4437695</v>
      </c>
    </row>
    <row r="55" spans="2:11" x14ac:dyDescent="0.3">
      <c r="B55" t="str">
        <v>Noble Heights Builders</v>
      </c>
      <c r="C55" t="str">
        <v>Electronic</v>
      </c>
      <c r="D55" t="str">
        <v>Laptop</v>
      </c>
      <c r="E55" t="str">
        <v>West</v>
      </c>
      <c r="F55" t="str">
        <v>Aurangabad</v>
      </c>
      <c r="G55" t="str">
        <v>Maharashtra</v>
      </c>
      <c r="H55" t="str">
        <v>Female</v>
      </c>
      <c r="I55">
        <v>5261</v>
      </c>
      <c r="J55">
        <v>626</v>
      </c>
      <c r="K55">
        <v>3293386</v>
      </c>
    </row>
    <row r="56" spans="2:11" x14ac:dyDescent="0.3">
      <c r="B56" t="str">
        <v>Radiant Foods</v>
      </c>
      <c r="C56" t="str">
        <v>Electronic</v>
      </c>
      <c r="D56" t="str">
        <v>Laptop</v>
      </c>
      <c r="E56" t="str">
        <v>North</v>
      </c>
      <c r="F56" t="str">
        <v>Shimla</v>
      </c>
      <c r="G56" t="str">
        <v>Himachal Pradesh</v>
      </c>
      <c r="H56" t="str">
        <v>Female</v>
      </c>
      <c r="I56">
        <v>5989</v>
      </c>
      <c r="J56">
        <v>889</v>
      </c>
      <c r="K56">
        <v>5324221</v>
      </c>
    </row>
    <row r="57" spans="2:11" x14ac:dyDescent="0.3">
      <c r="B57" t="str">
        <v>Zenith Financial Services</v>
      </c>
      <c r="C57" t="str">
        <v>Electronic</v>
      </c>
      <c r="D57" t="str">
        <v>Laptop</v>
      </c>
      <c r="E57" t="str">
        <v>North</v>
      </c>
      <c r="F57" t="str">
        <v>Dehradun</v>
      </c>
      <c r="G57" t="str">
        <v>Uttarakhand</v>
      </c>
      <c r="H57" t="str">
        <v>Female</v>
      </c>
      <c r="I57">
        <v>6350</v>
      </c>
      <c r="J57">
        <v>615</v>
      </c>
      <c r="K57">
        <v>3905250</v>
      </c>
    </row>
    <row r="58" spans="2:11" x14ac:dyDescent="0.3">
      <c r="B58" t="str">
        <v>Apex Travel Ventures</v>
      </c>
      <c r="C58" t="str">
        <v>Electronic</v>
      </c>
      <c r="D58" t="str">
        <v>Laptop</v>
      </c>
      <c r="E58" t="str">
        <v>Northeast</v>
      </c>
      <c r="F58" t="str">
        <v>Guwahati</v>
      </c>
      <c r="G58" t="str">
        <v>Assam</v>
      </c>
      <c r="H58" t="str">
        <v>Female</v>
      </c>
      <c r="I58">
        <v>9014</v>
      </c>
      <c r="J58">
        <v>687</v>
      </c>
      <c r="K58">
        <v>6192618</v>
      </c>
    </row>
    <row r="59" spans="2:11" x14ac:dyDescent="0.3">
      <c r="B59" t="str">
        <v>Future Vision Realty</v>
      </c>
      <c r="C59" t="str">
        <v>Electronic</v>
      </c>
      <c r="D59" t="str">
        <v>Laptop</v>
      </c>
      <c r="E59" t="str">
        <v>West</v>
      </c>
      <c r="F59" t="str">
        <v>Thane</v>
      </c>
      <c r="G59" t="str">
        <v>Maharashtra</v>
      </c>
      <c r="H59" t="str">
        <v>Male</v>
      </c>
      <c r="I59">
        <v>2605</v>
      </c>
      <c r="J59">
        <v>737</v>
      </c>
      <c r="K59">
        <v>1919885</v>
      </c>
    </row>
    <row r="60" spans="2:11" x14ac:dyDescent="0.3">
      <c r="B60" t="str">
        <v>Urban Pulse Media</v>
      </c>
      <c r="C60" t="str">
        <v>Electronic</v>
      </c>
      <c r="D60" t="str">
        <v>Laptop</v>
      </c>
      <c r="E60" t="str">
        <v>North (Union Territory)</v>
      </c>
      <c r="F60" t="str">
        <v>Chandigarh</v>
      </c>
      <c r="G60" t="str">
        <v>Chandigarh</v>
      </c>
      <c r="H60" t="str">
        <v>Male</v>
      </c>
      <c r="I60">
        <v>8431</v>
      </c>
      <c r="J60">
        <v>507</v>
      </c>
      <c r="K60">
        <v>4274517</v>
      </c>
    </row>
    <row r="61" spans="2:11" x14ac:dyDescent="0.3">
      <c r="B61" t="str">
        <v>True Essence Health</v>
      </c>
      <c r="C61" t="str">
        <v>Electronic</v>
      </c>
      <c r="D61" t="str">
        <v>Laptop</v>
      </c>
      <c r="E61" t="str">
        <v>Central</v>
      </c>
      <c r="F61" t="str">
        <v>Bhopal</v>
      </c>
      <c r="G61" t="str">
        <v>Madhya Pradesh</v>
      </c>
      <c r="H61" t="str">
        <v>Female</v>
      </c>
      <c r="I61">
        <v>5487</v>
      </c>
      <c r="J61">
        <v>879</v>
      </c>
      <c r="K61">
        <v>4823073</v>
      </c>
    </row>
    <row r="62" spans="2:11" x14ac:dyDescent="0.3">
      <c r="B62" t="str">
        <v>Apex Enterprise Solutions</v>
      </c>
      <c r="C62" t="str">
        <v>Electronic</v>
      </c>
      <c r="D62" t="str">
        <v>Laptop</v>
      </c>
      <c r="E62" t="str">
        <v>South</v>
      </c>
      <c r="F62" t="str">
        <v>Visakhapatnam</v>
      </c>
      <c r="G62" t="str">
        <v>Andhra Pradesh</v>
      </c>
      <c r="H62" t="str">
        <v>Male</v>
      </c>
      <c r="I62">
        <v>3782</v>
      </c>
      <c r="J62">
        <v>528</v>
      </c>
      <c r="K62">
        <v>1996896</v>
      </c>
    </row>
    <row r="63" spans="2:11" x14ac:dyDescent="0.3">
      <c r="B63" t="str">
        <v>Radiant Vision Realty</v>
      </c>
      <c r="C63" t="str">
        <v>Electronic</v>
      </c>
      <c r="D63" t="str">
        <v>Laptop</v>
      </c>
      <c r="E63" t="str">
        <v>East</v>
      </c>
      <c r="F63" t="str">
        <v>Patna</v>
      </c>
      <c r="G63" t="str">
        <v>Bihar</v>
      </c>
      <c r="H63" t="str">
        <v>Male</v>
      </c>
      <c r="I63">
        <v>2743</v>
      </c>
      <c r="J63">
        <v>575</v>
      </c>
      <c r="K63">
        <v>1577225</v>
      </c>
    </row>
    <row r="64" spans="2:11" x14ac:dyDescent="0.3">
      <c r="B64" t="str">
        <v>Harmony Consulting Group</v>
      </c>
      <c r="C64" t="str">
        <v>Electronic</v>
      </c>
      <c r="D64" t="str">
        <v>Laptop</v>
      </c>
      <c r="E64" t="str">
        <v>West</v>
      </c>
      <c r="F64" t="str">
        <v>Vadodara</v>
      </c>
      <c r="G64" t="str">
        <v>Gujarat</v>
      </c>
      <c r="H64" t="str">
        <v>Male</v>
      </c>
      <c r="I64">
        <v>4239</v>
      </c>
      <c r="J64">
        <v>922</v>
      </c>
      <c r="K64">
        <v>3908358</v>
      </c>
    </row>
    <row r="65" spans="2:11" x14ac:dyDescent="0.3">
      <c r="B65" t="str">
        <v>Zenith Tech Ventures</v>
      </c>
      <c r="C65" t="str">
        <v>Electronic</v>
      </c>
      <c r="D65" t="str">
        <v>Laptop</v>
      </c>
      <c r="E65" t="str">
        <v>North</v>
      </c>
      <c r="F65" t="str">
        <v>Agra</v>
      </c>
      <c r="G65" t="str">
        <v>Uttar Pradesh</v>
      </c>
      <c r="H65" t="str">
        <v>Male</v>
      </c>
      <c r="I65">
        <v>7544</v>
      </c>
      <c r="J65">
        <v>593</v>
      </c>
      <c r="K65">
        <v>4473592</v>
      </c>
    </row>
    <row r="66" spans="2:11" x14ac:dyDescent="0.3">
      <c r="B66" t="str">
        <v>Stellar Health Services</v>
      </c>
      <c r="C66" t="str">
        <v>Electronic</v>
      </c>
      <c r="D66" t="str">
        <v>Laptop</v>
      </c>
      <c r="E66" t="str">
        <v>North</v>
      </c>
      <c r="F66" t="str">
        <v>Meerut</v>
      </c>
      <c r="G66" t="str">
        <v>Uttar Pradesh</v>
      </c>
      <c r="H66" t="str">
        <v>Female</v>
      </c>
      <c r="I66">
        <v>3400</v>
      </c>
      <c r="J66">
        <v>948</v>
      </c>
      <c r="K66">
        <v>3223200</v>
      </c>
    </row>
    <row r="67" spans="2:11" x14ac:dyDescent="0.3">
      <c r="B67" t="str">
        <v>Pure Path Foods</v>
      </c>
      <c r="C67" t="str">
        <v>Electronic</v>
      </c>
      <c r="D67" t="str">
        <v>Laptop</v>
      </c>
      <c r="E67" t="str">
        <v>South</v>
      </c>
      <c r="F67" t="str">
        <v>Coimbatore</v>
      </c>
      <c r="G67" t="str">
        <v>Tamil Nadu</v>
      </c>
      <c r="H67" t="str">
        <v>Female</v>
      </c>
      <c r="I67">
        <v>1964</v>
      </c>
      <c r="J67">
        <v>787</v>
      </c>
      <c r="K67">
        <v>1545668</v>
      </c>
    </row>
    <row r="68" spans="2:11" x14ac:dyDescent="0.3">
      <c r="B68" t="str">
        <v>Prestige Solutions</v>
      </c>
      <c r="C68" t="str">
        <v>Electronic</v>
      </c>
      <c r="D68" t="str">
        <v>Laptop</v>
      </c>
      <c r="E68" t="str">
        <v>South</v>
      </c>
      <c r="F68" t="str">
        <v>Madurai</v>
      </c>
      <c r="G68" t="str">
        <v>Tamil Nadu</v>
      </c>
      <c r="H68" t="str">
        <v>Female</v>
      </c>
      <c r="I68">
        <v>4945</v>
      </c>
      <c r="J68">
        <v>938</v>
      </c>
      <c r="K68">
        <v>4638410</v>
      </c>
    </row>
    <row r="69" spans="2:11" x14ac:dyDescent="0.3">
      <c r="B69" t="str">
        <v>Bright Horizon Realty</v>
      </c>
      <c r="C69" t="str">
        <v>Electronic</v>
      </c>
      <c r="D69" t="str">
        <v>Laptop</v>
      </c>
      <c r="E69" t="str">
        <v>North</v>
      </c>
      <c r="F69" t="str">
        <v>Jodhpur</v>
      </c>
      <c r="G69" t="str">
        <v>Rajasthan</v>
      </c>
      <c r="H69" t="str">
        <v>Female</v>
      </c>
      <c r="I69">
        <v>5530</v>
      </c>
      <c r="J69">
        <v>777</v>
      </c>
      <c r="K69">
        <v>4296810</v>
      </c>
    </row>
    <row r="70" spans="2:11" x14ac:dyDescent="0.3">
      <c r="B70" t="str">
        <v>Horizon Health Solutions</v>
      </c>
      <c r="C70" t="str">
        <v>Electronic</v>
      </c>
      <c r="D70" t="str">
        <v>Speaker</v>
      </c>
      <c r="E70" t="str">
        <v>South</v>
      </c>
      <c r="F70" t="str">
        <v>Madurai</v>
      </c>
      <c r="G70" t="str">
        <v>Tamil Nadu</v>
      </c>
      <c r="H70" t="str">
        <v>Female</v>
      </c>
      <c r="I70">
        <v>2428</v>
      </c>
      <c r="J70">
        <v>662</v>
      </c>
      <c r="K70">
        <v>1607336</v>
      </c>
    </row>
    <row r="71" spans="2:11" x14ac:dyDescent="0.3">
      <c r="B71" t="str">
        <v>Crystal Clear Consulting</v>
      </c>
      <c r="C71" t="str">
        <v>Electronic</v>
      </c>
      <c r="D71" t="str">
        <v>Earbuds</v>
      </c>
      <c r="E71" t="str">
        <v>North</v>
      </c>
      <c r="F71" t="str">
        <v>Jodhpur</v>
      </c>
      <c r="G71" t="str">
        <v>Rajasthan</v>
      </c>
      <c r="H71" t="str">
        <v>Female</v>
      </c>
      <c r="I71">
        <v>7389</v>
      </c>
      <c r="J71">
        <v>997</v>
      </c>
      <c r="K71">
        <v>7366833</v>
      </c>
    </row>
    <row r="72" spans="2:11" x14ac:dyDescent="0.3">
      <c r="B72" t="str">
        <v>Apex Marketing Solutions</v>
      </c>
      <c r="C72" t="str">
        <v>Electronic</v>
      </c>
      <c r="D72" t="str">
        <v>Earbuds</v>
      </c>
      <c r="E72" t="str">
        <v>North</v>
      </c>
      <c r="F72" t="str">
        <v>Varanasi</v>
      </c>
      <c r="G72" t="str">
        <v>Uttar Pradesh</v>
      </c>
      <c r="H72" t="str">
        <v>Male</v>
      </c>
      <c r="I72">
        <v>3703</v>
      </c>
      <c r="J72">
        <v>568</v>
      </c>
      <c r="K72">
        <v>2103304</v>
      </c>
    </row>
    <row r="73" spans="2:11" x14ac:dyDescent="0.3">
      <c r="B73" t="str">
        <v>Zenith Innovations</v>
      </c>
      <c r="C73" t="str">
        <v>Electronic</v>
      </c>
      <c r="D73" t="str">
        <v>Earbuds</v>
      </c>
      <c r="E73" t="str">
        <v>East</v>
      </c>
      <c r="F73" t="str">
        <v>Ranchi</v>
      </c>
      <c r="G73" t="str">
        <v>Jharkhand</v>
      </c>
      <c r="H73" t="str">
        <v>Male</v>
      </c>
      <c r="I73">
        <v>6133</v>
      </c>
      <c r="J73">
        <v>505</v>
      </c>
      <c r="K73">
        <v>3097165</v>
      </c>
    </row>
    <row r="74" spans="2:11" x14ac:dyDescent="0.3">
      <c r="B74" t="str">
        <v>True Essence Innovations</v>
      </c>
      <c r="C74" t="str">
        <v>Electronic</v>
      </c>
      <c r="D74" t="str">
        <v>Speaker</v>
      </c>
      <c r="E74" t="str">
        <v>Northeast</v>
      </c>
      <c r="F74" t="str">
        <v>Guwahati</v>
      </c>
      <c r="G74" t="str">
        <v>Assam</v>
      </c>
      <c r="H74" t="str">
        <v>Male</v>
      </c>
      <c r="I74">
        <v>6331</v>
      </c>
      <c r="J74">
        <v>573</v>
      </c>
      <c r="K74">
        <v>3627663</v>
      </c>
    </row>
    <row r="75" spans="2:11" x14ac:dyDescent="0.3">
      <c r="B75" t="str">
        <v>Pinnacle Media Group</v>
      </c>
      <c r="C75" t="str">
        <v>Electronic</v>
      </c>
      <c r="D75" t="str">
        <v>Speaker</v>
      </c>
      <c r="E75" t="str">
        <v>North</v>
      </c>
      <c r="F75" t="str">
        <v>Amritsar</v>
      </c>
      <c r="G75" t="str">
        <v>Punjab</v>
      </c>
      <c r="H75" t="str">
        <v>Male</v>
      </c>
      <c r="I75">
        <v>5511</v>
      </c>
      <c r="J75">
        <v>832</v>
      </c>
      <c r="K75">
        <v>4585152</v>
      </c>
    </row>
    <row r="76" spans="2:11" x14ac:dyDescent="0.3">
      <c r="B76" t="str">
        <v>Legacy Design Co.</v>
      </c>
      <c r="C76" t="str">
        <v>Electronic</v>
      </c>
      <c r="D76" t="str">
        <v>Speaker</v>
      </c>
      <c r="E76" t="str">
        <v>Central</v>
      </c>
      <c r="F76" t="str">
        <v>Raipur</v>
      </c>
      <c r="G76" t="str">
        <v>Chhattisgarh</v>
      </c>
      <c r="H76" t="str">
        <v>Male</v>
      </c>
      <c r="I76">
        <v>7070</v>
      </c>
      <c r="J76">
        <v>896</v>
      </c>
      <c r="K76">
        <v>6334720</v>
      </c>
    </row>
    <row r="77" spans="2:11" x14ac:dyDescent="0.3">
      <c r="B77" t="str">
        <v>Apex Health Products</v>
      </c>
      <c r="C77" t="str">
        <v>Electronic</v>
      </c>
      <c r="D77" t="str">
        <v>Speaker</v>
      </c>
      <c r="E77" t="str">
        <v>East</v>
      </c>
      <c r="F77" t="str">
        <v>Durgapur</v>
      </c>
      <c r="G77" t="str">
        <v>West Bengal</v>
      </c>
      <c r="H77" t="str">
        <v>Female</v>
      </c>
      <c r="I77">
        <v>4761</v>
      </c>
      <c r="J77">
        <v>819</v>
      </c>
      <c r="K77">
        <v>3899259</v>
      </c>
    </row>
    <row r="78" spans="2:11" x14ac:dyDescent="0.3">
      <c r="B78" t="str">
        <v>Zenith Travel Ventures</v>
      </c>
      <c r="C78" t="str">
        <v>Electronic</v>
      </c>
      <c r="D78" t="str">
        <v>Speaker</v>
      </c>
      <c r="E78" t="str">
        <v>East</v>
      </c>
      <c r="F78" t="str">
        <v>Kolkata</v>
      </c>
      <c r="G78" t="str">
        <v>West Bengal</v>
      </c>
      <c r="H78" t="str">
        <v>Female</v>
      </c>
      <c r="I78">
        <v>8127</v>
      </c>
      <c r="J78">
        <v>956</v>
      </c>
      <c r="K78">
        <v>7769412</v>
      </c>
    </row>
    <row r="79" spans="2:11" x14ac:dyDescent="0.3">
      <c r="B79" t="str">
        <v>Pure Path Consulting</v>
      </c>
      <c r="C79" t="str">
        <v>Electronic</v>
      </c>
      <c r="D79" t="str">
        <v>Speaker</v>
      </c>
      <c r="E79" t="str">
        <v>Central</v>
      </c>
      <c r="F79" t="str">
        <v>Gwalior</v>
      </c>
      <c r="G79" t="str">
        <v>Madhya Pradesh</v>
      </c>
      <c r="H79" t="str">
        <v>Female</v>
      </c>
      <c r="I79">
        <v>7794</v>
      </c>
      <c r="J79">
        <v>527</v>
      </c>
      <c r="K79">
        <v>4107438</v>
      </c>
    </row>
    <row r="80" spans="2:11" x14ac:dyDescent="0.3">
      <c r="B80" t="str">
        <v>Harmony Educational Group</v>
      </c>
      <c r="C80" t="str">
        <v>Electronic</v>
      </c>
      <c r="D80" t="str">
        <v>TV</v>
      </c>
      <c r="E80" t="str">
        <v>South</v>
      </c>
      <c r="F80" t="str">
        <v>Bengaluru</v>
      </c>
      <c r="G80" t="str">
        <v>Karnataka</v>
      </c>
      <c r="H80" t="str">
        <v>Male</v>
      </c>
      <c r="I80">
        <v>1882</v>
      </c>
      <c r="J80">
        <v>560</v>
      </c>
      <c r="K80">
        <v>1053920</v>
      </c>
    </row>
    <row r="81" spans="2:11" x14ac:dyDescent="0.3">
      <c r="B81" t="str">
        <v>Urban Spectrum Solutions</v>
      </c>
      <c r="C81" t="str">
        <v>Electronic</v>
      </c>
      <c r="D81" t="str">
        <v>TV</v>
      </c>
      <c r="E81" t="str">
        <v>South</v>
      </c>
      <c r="F81" t="str">
        <v>Hyderabad</v>
      </c>
      <c r="G81" t="str">
        <v>Telangana</v>
      </c>
      <c r="H81" t="str">
        <v>Male</v>
      </c>
      <c r="I81">
        <v>3794</v>
      </c>
      <c r="J81">
        <v>734</v>
      </c>
      <c r="K81">
        <v>2784796</v>
      </c>
    </row>
    <row r="82" spans="2:11" x14ac:dyDescent="0.3">
      <c r="B82" t="str">
        <v>Radiant Design Studio</v>
      </c>
      <c r="C82" t="str">
        <v>Electronic</v>
      </c>
      <c r="D82" t="str">
        <v>TV</v>
      </c>
      <c r="E82" t="str">
        <v>West</v>
      </c>
      <c r="F82" t="str">
        <v>Ahmedabad</v>
      </c>
      <c r="G82" t="str">
        <v>Gujarat</v>
      </c>
      <c r="H82" t="str">
        <v>Male</v>
      </c>
      <c r="I82">
        <v>2105</v>
      </c>
      <c r="J82">
        <v>981</v>
      </c>
      <c r="K82">
        <v>2065005</v>
      </c>
    </row>
    <row r="83" spans="2:11" x14ac:dyDescent="0.3">
      <c r="B83" t="str">
        <v>Zenith Health Innovations</v>
      </c>
      <c r="C83" t="str">
        <v>Electronic</v>
      </c>
      <c r="D83" t="str">
        <v>TV</v>
      </c>
      <c r="E83" t="str">
        <v>West</v>
      </c>
      <c r="F83" t="str">
        <v>Pune</v>
      </c>
      <c r="G83" t="str">
        <v>Maharashtra</v>
      </c>
      <c r="H83" t="str">
        <v>Male</v>
      </c>
      <c r="I83">
        <v>7654</v>
      </c>
      <c r="J83">
        <v>881</v>
      </c>
      <c r="K83">
        <v>6743174</v>
      </c>
    </row>
    <row r="84" spans="2:11" x14ac:dyDescent="0.3">
      <c r="B84" t="str">
        <v>Apex Realty Ventures</v>
      </c>
      <c r="C84" t="str">
        <v>Electronic</v>
      </c>
      <c r="D84" t="str">
        <v>TV</v>
      </c>
      <c r="E84" t="str">
        <v>North</v>
      </c>
      <c r="F84" t="str">
        <v>Jaipur</v>
      </c>
      <c r="G84" t="str">
        <v>Rajasthan</v>
      </c>
      <c r="H84" t="str">
        <v>Male</v>
      </c>
      <c r="I84">
        <v>9045</v>
      </c>
      <c r="J84">
        <v>544</v>
      </c>
      <c r="K84">
        <v>4920480</v>
      </c>
    </row>
    <row r="85" spans="2:11" x14ac:dyDescent="0.3">
      <c r="B85" t="str">
        <v>Legacy Wellness Solutions</v>
      </c>
      <c r="C85" t="str">
        <v>Electronic</v>
      </c>
      <c r="D85" t="str">
        <v>TV</v>
      </c>
      <c r="E85" t="str">
        <v>West</v>
      </c>
      <c r="F85" t="str">
        <v>Surat</v>
      </c>
      <c r="G85" t="str">
        <v>Gujarat</v>
      </c>
      <c r="H85" t="str">
        <v>Female</v>
      </c>
      <c r="I85">
        <v>2088</v>
      </c>
      <c r="J85">
        <v>678</v>
      </c>
      <c r="K85">
        <v>1415664</v>
      </c>
    </row>
    <row r="86" spans="2:11" x14ac:dyDescent="0.3">
      <c r="B86" t="str">
        <v>True Value Ventures</v>
      </c>
      <c r="C86" t="str">
        <v>Electronic</v>
      </c>
      <c r="D86" t="str">
        <v>TV</v>
      </c>
      <c r="E86" t="str">
        <v>North</v>
      </c>
      <c r="F86" t="str">
        <v>Lucknow</v>
      </c>
      <c r="G86" t="str">
        <v>Uttar Pradesh</v>
      </c>
      <c r="H86" t="str">
        <v>Female</v>
      </c>
      <c r="I86">
        <v>3793</v>
      </c>
      <c r="J86">
        <v>657</v>
      </c>
      <c r="K86">
        <v>2492001</v>
      </c>
    </row>
    <row r="87" spans="2:11" x14ac:dyDescent="0.3">
      <c r="B87" t="str">
        <v>Horizon Media Solutions</v>
      </c>
      <c r="C87" t="str">
        <v>Electronic</v>
      </c>
      <c r="D87" t="str">
        <v>TV</v>
      </c>
      <c r="E87" t="str">
        <v>North</v>
      </c>
      <c r="F87" t="str">
        <v>Kanpur</v>
      </c>
      <c r="G87" t="str">
        <v>Uttar Pradesh</v>
      </c>
      <c r="H87" t="str">
        <v>Female</v>
      </c>
      <c r="I87">
        <v>6566</v>
      </c>
      <c r="J87">
        <v>674</v>
      </c>
      <c r="K87">
        <v>4425484</v>
      </c>
    </row>
    <row r="88" spans="2:11" x14ac:dyDescent="0.3">
      <c r="B88" t="str">
        <v>Crystal Clear Designs</v>
      </c>
      <c r="C88" t="str">
        <v>Electronic</v>
      </c>
      <c r="D88" t="str">
        <v>TV</v>
      </c>
      <c r="E88" t="str">
        <v>West</v>
      </c>
      <c r="F88" t="str">
        <v>Nagpur</v>
      </c>
      <c r="G88" t="str">
        <v>Maharashtra</v>
      </c>
      <c r="H88" t="str">
        <v>Male</v>
      </c>
      <c r="I88">
        <v>5152</v>
      </c>
      <c r="J88">
        <v>760</v>
      </c>
      <c r="K88">
        <v>3915520</v>
      </c>
    </row>
    <row r="89" spans="2:11" x14ac:dyDescent="0.3">
      <c r="B89" t="str">
        <v>Pinnacle Innovations Co.</v>
      </c>
      <c r="C89" t="str">
        <v>Electronic</v>
      </c>
      <c r="D89" t="str">
        <v>TV</v>
      </c>
      <c r="E89" t="str">
        <v>Central</v>
      </c>
      <c r="F89" t="str">
        <v>Indore</v>
      </c>
      <c r="G89" t="str">
        <v>Madhya Pradesh</v>
      </c>
      <c r="H89" t="str">
        <v>Male</v>
      </c>
      <c r="I89">
        <v>2714</v>
      </c>
      <c r="J89">
        <v>607</v>
      </c>
      <c r="K89">
        <v>1647398</v>
      </c>
    </row>
    <row r="90" spans="2:11" x14ac:dyDescent="0.3">
      <c r="B90" t="str">
        <v>Modern Pathways</v>
      </c>
      <c r="C90" t="str">
        <v>Electronic</v>
      </c>
      <c r="D90" t="str">
        <v>TV</v>
      </c>
      <c r="E90" t="str">
        <v>West</v>
      </c>
      <c r="F90" t="str">
        <v>Thane</v>
      </c>
      <c r="G90" t="str">
        <v>Maharashtra</v>
      </c>
      <c r="H90" t="str">
        <v>Male</v>
      </c>
      <c r="I90">
        <v>7249</v>
      </c>
      <c r="J90">
        <v>645</v>
      </c>
      <c r="K90">
        <v>4675605</v>
      </c>
    </row>
    <row r="91" spans="2:11" x14ac:dyDescent="0.3">
      <c r="B91" t="str">
        <v>Stellar Finance Co.</v>
      </c>
      <c r="C91" t="str">
        <v>Electronic</v>
      </c>
      <c r="D91" t="str">
        <v>TV</v>
      </c>
      <c r="E91" t="str">
        <v>North (Union Territory)</v>
      </c>
      <c r="F91" t="str">
        <v>Chandigarh</v>
      </c>
      <c r="G91" t="str">
        <v>Chandigarh</v>
      </c>
      <c r="H91" t="str">
        <v>Male</v>
      </c>
      <c r="I91">
        <v>7924</v>
      </c>
      <c r="J91">
        <v>855</v>
      </c>
      <c r="K91">
        <v>6775020</v>
      </c>
    </row>
    <row r="92" spans="2:11" x14ac:dyDescent="0.3">
      <c r="B92" t="str">
        <v>Radiant Spectrum Group</v>
      </c>
      <c r="C92" t="str">
        <v>Electronic</v>
      </c>
      <c r="D92" t="str">
        <v>TV</v>
      </c>
      <c r="E92" t="str">
        <v>Central</v>
      </c>
      <c r="F92" t="str">
        <v>Bhopal</v>
      </c>
      <c r="G92" t="str">
        <v>Madhya Pradesh</v>
      </c>
      <c r="H92" t="str">
        <v>Male</v>
      </c>
      <c r="I92">
        <v>6728</v>
      </c>
      <c r="J92">
        <v>701</v>
      </c>
      <c r="K92">
        <v>4716328</v>
      </c>
    </row>
    <row r="93" spans="2:11" x14ac:dyDescent="0.3">
      <c r="B93" t="str">
        <v>Harmony Design Ventures</v>
      </c>
      <c r="C93" t="str">
        <v>Electronic</v>
      </c>
      <c r="D93" t="str">
        <v>TV</v>
      </c>
      <c r="E93" t="str">
        <v>South</v>
      </c>
      <c r="F93" t="str">
        <v>Visakhapatnam</v>
      </c>
      <c r="G93" t="str">
        <v>Andhra Pradesh</v>
      </c>
      <c r="H93" t="str">
        <v>Female</v>
      </c>
      <c r="I93">
        <v>6384</v>
      </c>
      <c r="J93">
        <v>575</v>
      </c>
      <c r="K93">
        <v>3670800</v>
      </c>
    </row>
    <row r="94" spans="2:11" x14ac:dyDescent="0.3">
      <c r="B94" t="str">
        <v>Elite Edge Products</v>
      </c>
      <c r="C94" t="str">
        <v>Electronic</v>
      </c>
      <c r="D94" t="str">
        <v>TV</v>
      </c>
      <c r="E94" t="str">
        <v>East</v>
      </c>
      <c r="F94" t="str">
        <v>Patna</v>
      </c>
      <c r="G94" t="str">
        <v>Bihar</v>
      </c>
      <c r="H94" t="str">
        <v>Female</v>
      </c>
      <c r="I94">
        <v>3372</v>
      </c>
      <c r="J94">
        <v>533</v>
      </c>
      <c r="K94">
        <v>1797276</v>
      </c>
    </row>
    <row r="95" spans="2:11" x14ac:dyDescent="0.3">
      <c r="B95" t="str">
        <v>Zenith Consulting Co.</v>
      </c>
      <c r="C95" t="str">
        <v>Electronic</v>
      </c>
      <c r="D95" t="str">
        <v>Laptop</v>
      </c>
      <c r="E95" t="str">
        <v>West</v>
      </c>
      <c r="F95" t="str">
        <v>Vadodara</v>
      </c>
      <c r="G95" t="str">
        <v>Gujarat</v>
      </c>
      <c r="H95" t="str">
        <v>Female</v>
      </c>
      <c r="I95">
        <v>1817</v>
      </c>
      <c r="J95">
        <v>615</v>
      </c>
      <c r="K95">
        <v>1117455</v>
      </c>
    </row>
    <row r="96" spans="2:11" x14ac:dyDescent="0.3">
      <c r="B96" t="str">
        <v>Apex Wellness Products</v>
      </c>
      <c r="C96" t="str">
        <v>Electronic</v>
      </c>
      <c r="D96" t="str">
        <v>Laptop</v>
      </c>
      <c r="E96" t="str">
        <v>North</v>
      </c>
      <c r="F96" t="str">
        <v>Agra</v>
      </c>
      <c r="G96" t="str">
        <v>Uttar Pradesh</v>
      </c>
      <c r="H96" t="str">
        <v>Female</v>
      </c>
      <c r="I96">
        <v>3910</v>
      </c>
      <c r="J96">
        <v>521</v>
      </c>
      <c r="K96">
        <v>2037110</v>
      </c>
    </row>
    <row r="97" spans="2:11" x14ac:dyDescent="0.3">
      <c r="B97" t="str">
        <v>Urban Vision Solutions</v>
      </c>
      <c r="C97" t="str">
        <v>Electronic</v>
      </c>
      <c r="D97" t="str">
        <v>Laptop</v>
      </c>
      <c r="E97" t="str">
        <v>North</v>
      </c>
      <c r="F97" t="str">
        <v>Meerut</v>
      </c>
      <c r="G97" t="str">
        <v>Uttar Pradesh</v>
      </c>
      <c r="H97" t="str">
        <v>Female</v>
      </c>
      <c r="I97">
        <v>9238</v>
      </c>
      <c r="J97">
        <v>630</v>
      </c>
      <c r="K97">
        <v>5819940</v>
      </c>
    </row>
    <row r="98" spans="2:11" x14ac:dyDescent="0.3">
      <c r="B98" t="str">
        <v>Pure Harmony Innovations</v>
      </c>
      <c r="C98" t="str">
        <v>Electronic</v>
      </c>
      <c r="D98" t="str">
        <v>Laptop</v>
      </c>
      <c r="E98" t="str">
        <v>South</v>
      </c>
      <c r="F98" t="str">
        <v>Coimbatore</v>
      </c>
      <c r="G98" t="str">
        <v>Tamil Nadu</v>
      </c>
      <c r="H98" t="str">
        <v>Female</v>
      </c>
      <c r="I98">
        <v>8891</v>
      </c>
      <c r="J98">
        <v>500</v>
      </c>
      <c r="K98">
        <v>4445500</v>
      </c>
    </row>
    <row r="99" spans="2:11" x14ac:dyDescent="0.3">
      <c r="B99" t="str">
        <v>Legacy Media Group</v>
      </c>
      <c r="C99" t="str">
        <v>Electronic</v>
      </c>
      <c r="D99" t="str">
        <v>Laptop</v>
      </c>
      <c r="E99" t="str">
        <v>South</v>
      </c>
      <c r="F99" t="str">
        <v>Madurai</v>
      </c>
      <c r="G99" t="str">
        <v>Tamil Nadu</v>
      </c>
      <c r="H99" t="str">
        <v>Female</v>
      </c>
      <c r="I99">
        <v>5367</v>
      </c>
      <c r="J99">
        <v>606</v>
      </c>
      <c r="K99">
        <v>3252402</v>
      </c>
    </row>
    <row r="100" spans="2:11" x14ac:dyDescent="0.3">
      <c r="B100" t="str">
        <v>Pinnacle Travel Solutions</v>
      </c>
      <c r="C100" t="str">
        <v>Electronic</v>
      </c>
      <c r="D100" t="str">
        <v>Laptop</v>
      </c>
      <c r="E100" t="str">
        <v>North</v>
      </c>
      <c r="F100" t="str">
        <v>Jodhpur</v>
      </c>
      <c r="G100" t="str">
        <v>Rajasthan</v>
      </c>
      <c r="H100" t="str">
        <v>Male</v>
      </c>
      <c r="I100">
        <v>5733</v>
      </c>
      <c r="J100">
        <v>582</v>
      </c>
      <c r="K100">
        <v>3336606</v>
      </c>
    </row>
    <row r="101" spans="2:11" x14ac:dyDescent="0.3">
      <c r="B101" t="str">
        <v>Horizon Tech Innovations</v>
      </c>
      <c r="C101" t="str">
        <v>Electronic</v>
      </c>
      <c r="D101" t="str">
        <v>Laptop</v>
      </c>
      <c r="E101" t="str">
        <v>North</v>
      </c>
      <c r="F101" t="str">
        <v>Varanasi</v>
      </c>
      <c r="G101" t="str">
        <v>Uttar Pradesh</v>
      </c>
      <c r="H101" t="str">
        <v>Male</v>
      </c>
      <c r="I101">
        <v>6120</v>
      </c>
      <c r="J101">
        <v>647</v>
      </c>
      <c r="K101">
        <v>3959640</v>
      </c>
    </row>
    <row r="102" spans="2:11" x14ac:dyDescent="0.3">
      <c r="B102" t="str">
        <v>Crystal Spectrum Consulting</v>
      </c>
      <c r="C102" t="str">
        <v>Electronic</v>
      </c>
      <c r="D102" t="str">
        <v>Laptop</v>
      </c>
      <c r="E102" t="str">
        <v>East</v>
      </c>
      <c r="F102" t="str">
        <v>Ranchi</v>
      </c>
      <c r="G102" t="str">
        <v>Jharkhand</v>
      </c>
      <c r="H102" t="str">
        <v>Male</v>
      </c>
      <c r="I102">
        <v>4560</v>
      </c>
      <c r="J102">
        <v>779</v>
      </c>
      <c r="K102">
        <v>3552240</v>
      </c>
    </row>
    <row r="103" spans="2:11" x14ac:dyDescent="0.3">
      <c r="B103" t="str">
        <v>Stellar Creative Co.</v>
      </c>
      <c r="C103" t="str">
        <v>Electronic</v>
      </c>
      <c r="D103" t="str">
        <v>Laptop</v>
      </c>
      <c r="E103" t="str">
        <v>South</v>
      </c>
      <c r="F103" t="str">
        <v>Kochi</v>
      </c>
      <c r="G103" t="str">
        <v>Kerala</v>
      </c>
      <c r="H103" t="str">
        <v>Male</v>
      </c>
      <c r="I103">
        <v>7880</v>
      </c>
      <c r="J103">
        <v>814</v>
      </c>
      <c r="K103">
        <v>6414320</v>
      </c>
    </row>
    <row r="104" spans="2:11" x14ac:dyDescent="0.3">
      <c r="B104" t="str">
        <v>Radiance Media Ventures</v>
      </c>
      <c r="C104" t="str">
        <v>Electronic</v>
      </c>
      <c r="D104" t="str">
        <v>Laptop</v>
      </c>
      <c r="E104" t="str">
        <v>West</v>
      </c>
      <c r="F104" t="str">
        <v>Aurangabad</v>
      </c>
      <c r="G104" t="str">
        <v>Maharashtra</v>
      </c>
      <c r="H104" t="str">
        <v>Female</v>
      </c>
      <c r="I104">
        <v>4940</v>
      </c>
      <c r="J104">
        <v>517</v>
      </c>
      <c r="K104">
        <v>2553980</v>
      </c>
    </row>
    <row r="105" spans="2:11" x14ac:dyDescent="0.3">
      <c r="B105" t="str">
        <v>Harmony Health Solutions</v>
      </c>
      <c r="C105" t="str">
        <v>Electronic</v>
      </c>
      <c r="D105" t="str">
        <v>Laptop</v>
      </c>
      <c r="E105" t="str">
        <v>North</v>
      </c>
      <c r="F105" t="str">
        <v>Shimla</v>
      </c>
      <c r="G105" t="str">
        <v>Himachal Pradesh</v>
      </c>
      <c r="H105" t="str">
        <v>Male</v>
      </c>
      <c r="I105">
        <v>4721</v>
      </c>
      <c r="J105">
        <v>620</v>
      </c>
      <c r="K105">
        <v>2927020</v>
      </c>
    </row>
    <row r="106" spans="2:11" x14ac:dyDescent="0.3">
      <c r="B106" t="str">
        <v>Zenith Edge Services</v>
      </c>
      <c r="C106" t="str">
        <v>Electronic</v>
      </c>
      <c r="D106" t="str">
        <v>Laptop</v>
      </c>
      <c r="E106" t="str">
        <v>North</v>
      </c>
      <c r="F106" t="str">
        <v>Dehradun</v>
      </c>
      <c r="G106" t="str">
        <v>Uttarakhand</v>
      </c>
      <c r="H106" t="str">
        <v>Male</v>
      </c>
      <c r="I106">
        <v>2837</v>
      </c>
      <c r="J106">
        <v>831</v>
      </c>
      <c r="K106">
        <v>2357547</v>
      </c>
    </row>
    <row r="107" spans="2:11" x14ac:dyDescent="0.3">
      <c r="B107" t="str">
        <v>Stellar Consulting Services</v>
      </c>
      <c r="C107" t="str">
        <v>Electronic</v>
      </c>
      <c r="D107" t="str">
        <v>Laptop</v>
      </c>
      <c r="E107" t="str">
        <v>West</v>
      </c>
      <c r="F107" t="str">
        <v>Aurangabad</v>
      </c>
      <c r="G107" t="str">
        <v>Maharashtra</v>
      </c>
      <c r="H107" t="str">
        <v>Female</v>
      </c>
      <c r="I107">
        <v>1980</v>
      </c>
      <c r="J107">
        <v>648</v>
      </c>
      <c r="K107">
        <v>1283040</v>
      </c>
    </row>
    <row r="108" spans="2:11" x14ac:dyDescent="0.3">
      <c r="B108" t="str">
        <v>Radiant Ventures</v>
      </c>
      <c r="C108" t="str">
        <v>Electronic</v>
      </c>
      <c r="D108" t="str">
        <v>Laptop</v>
      </c>
      <c r="E108" t="str">
        <v>North</v>
      </c>
      <c r="F108" t="str">
        <v>Shimla</v>
      </c>
      <c r="G108" t="str">
        <v>Himachal Pradesh</v>
      </c>
      <c r="H108" t="str">
        <v>Female</v>
      </c>
      <c r="I108">
        <v>6082</v>
      </c>
      <c r="J108">
        <v>810</v>
      </c>
      <c r="K108">
        <v>4926420</v>
      </c>
    </row>
    <row r="109" spans="2:11" x14ac:dyDescent="0.3">
      <c r="B109" t="str">
        <v>Harmony Tech Co.</v>
      </c>
      <c r="C109" t="str">
        <v>Electronic</v>
      </c>
      <c r="D109" t="str">
        <v>Laptop</v>
      </c>
      <c r="E109" t="str">
        <v>North</v>
      </c>
      <c r="F109" t="str">
        <v>Dehradun</v>
      </c>
      <c r="G109" t="str">
        <v>Uttarakhand</v>
      </c>
      <c r="H109" t="str">
        <v>Female</v>
      </c>
      <c r="I109">
        <v>9433</v>
      </c>
      <c r="J109">
        <v>540</v>
      </c>
      <c r="K109">
        <v>5093820</v>
      </c>
    </row>
    <row r="110" spans="2:11" x14ac:dyDescent="0.3">
      <c r="B110" t="str">
        <v>Zenith Creative Ventures</v>
      </c>
      <c r="C110" t="str">
        <v>Electronic</v>
      </c>
      <c r="D110" t="str">
        <v>Laptop</v>
      </c>
      <c r="E110" t="str">
        <v>Northeast</v>
      </c>
      <c r="F110" t="str">
        <v>Guwahati</v>
      </c>
      <c r="G110" t="str">
        <v>Assam</v>
      </c>
      <c r="H110" t="str">
        <v>Male</v>
      </c>
      <c r="I110">
        <v>5549</v>
      </c>
      <c r="J110">
        <v>973</v>
      </c>
      <c r="K110">
        <v>5399177</v>
      </c>
    </row>
    <row r="111" spans="2:11" x14ac:dyDescent="0.3">
      <c r="B111" t="str">
        <v>Apex Health Services</v>
      </c>
      <c r="C111" t="str">
        <v>Electronic</v>
      </c>
      <c r="D111" t="str">
        <v>Laptop</v>
      </c>
      <c r="E111" t="str">
        <v>North</v>
      </c>
      <c r="F111" t="str">
        <v>Amritsar</v>
      </c>
      <c r="G111" t="str">
        <v>Punjab</v>
      </c>
      <c r="H111" t="str">
        <v>Male</v>
      </c>
      <c r="I111">
        <v>2572</v>
      </c>
      <c r="J111">
        <v>777</v>
      </c>
      <c r="K111">
        <v>1998444</v>
      </c>
    </row>
    <row r="112" spans="2:11" x14ac:dyDescent="0.3">
      <c r="B112" t="str">
        <v>Pure Vision Media</v>
      </c>
      <c r="C112" t="str">
        <v>Electronic</v>
      </c>
      <c r="D112" t="str">
        <v>Laptop</v>
      </c>
      <c r="E112" t="str">
        <v>Central</v>
      </c>
      <c r="F112" t="str">
        <v>Raipur</v>
      </c>
      <c r="G112" t="str">
        <v>Chhattisgarh</v>
      </c>
      <c r="H112" t="str">
        <v>Male</v>
      </c>
      <c r="I112">
        <v>5503</v>
      </c>
      <c r="J112">
        <v>717</v>
      </c>
      <c r="K112">
        <v>3945651</v>
      </c>
    </row>
    <row r="113" spans="2:11" x14ac:dyDescent="0.3">
      <c r="B113" t="str">
        <v>Legacy Innovations Group</v>
      </c>
      <c r="C113" t="str">
        <v>Electronic</v>
      </c>
      <c r="D113" t="str">
        <v>Laptop</v>
      </c>
      <c r="E113" t="str">
        <v>East</v>
      </c>
      <c r="F113" t="str">
        <v>Durgapur</v>
      </c>
      <c r="G113" t="str">
        <v>West Bengal</v>
      </c>
      <c r="H113" t="str">
        <v>Male</v>
      </c>
      <c r="I113">
        <v>5562</v>
      </c>
      <c r="J113">
        <v>986</v>
      </c>
      <c r="K113">
        <v>5484132</v>
      </c>
    </row>
    <row r="114" spans="2:11" x14ac:dyDescent="0.3">
      <c r="B114" t="str">
        <v>Pinnacle Consulting Co.</v>
      </c>
      <c r="C114" t="str">
        <v>Electronic</v>
      </c>
      <c r="D114" t="str">
        <v>Laptop</v>
      </c>
      <c r="E114" t="str">
        <v>East</v>
      </c>
      <c r="F114" t="str">
        <v>Kolkata</v>
      </c>
      <c r="G114" t="str">
        <v>West Bengal</v>
      </c>
      <c r="H114" t="str">
        <v>Male</v>
      </c>
      <c r="I114">
        <v>3673</v>
      </c>
      <c r="J114">
        <v>855</v>
      </c>
      <c r="K114">
        <v>3140415</v>
      </c>
    </row>
    <row r="115" spans="2:11" x14ac:dyDescent="0.3">
      <c r="B115" t="str">
        <v>Stellar Finance Group</v>
      </c>
      <c r="C115" t="str">
        <v>Electronic</v>
      </c>
      <c r="D115" t="str">
        <v>Laptop</v>
      </c>
      <c r="E115" t="str">
        <v>Central</v>
      </c>
      <c r="F115" t="str">
        <v>Gwalior</v>
      </c>
      <c r="G115" t="str">
        <v>Madhya Pradesh</v>
      </c>
      <c r="H115" t="str">
        <v>Female</v>
      </c>
      <c r="I115">
        <v>2344</v>
      </c>
      <c r="J115">
        <v>536</v>
      </c>
      <c r="K115">
        <v>1256384</v>
      </c>
    </row>
    <row r="116" spans="2:11" x14ac:dyDescent="0.3">
      <c r="B116" t="str">
        <v>Radiant Solutions Co.</v>
      </c>
      <c r="C116" t="str">
        <v>Electronic</v>
      </c>
      <c r="D116" t="str">
        <v>Laptop</v>
      </c>
      <c r="E116" t="str">
        <v>East</v>
      </c>
      <c r="F116" t="str">
        <v>Jamshedpur</v>
      </c>
      <c r="G116" t="str">
        <v>Jharkhand</v>
      </c>
      <c r="H116" t="str">
        <v>Female</v>
      </c>
      <c r="I116">
        <v>6278</v>
      </c>
      <c r="J116">
        <v>540</v>
      </c>
      <c r="K116">
        <v>3390120</v>
      </c>
    </row>
    <row r="117" spans="2:11" x14ac:dyDescent="0.3">
      <c r="B117" t="str">
        <v>Harmony Ventures Group</v>
      </c>
      <c r="C117" t="str">
        <v>Electronic</v>
      </c>
      <c r="D117" t="str">
        <v>Laptop</v>
      </c>
      <c r="E117" t="str">
        <v>West</v>
      </c>
      <c r="F117" t="str">
        <v>Vadodara</v>
      </c>
      <c r="G117" t="str">
        <v>Gujarat</v>
      </c>
      <c r="H117" t="str">
        <v>Female</v>
      </c>
      <c r="I117">
        <v>9561</v>
      </c>
      <c r="J117">
        <v>674</v>
      </c>
      <c r="K117">
        <v>6444114</v>
      </c>
    </row>
  </sheetData>
  <mergeCells count="1">
    <mergeCell ref="B4:H7"/>
  </mergeCells>
  <dataValidations count="1">
    <dataValidation type="list" allowBlank="1" showInputMessage="1" showErrorMessage="1" sqref="B4:H7" xr:uid="{834757DE-6ABB-497D-80D7-11C255100242}">
      <formula1>"Electronic, Fashion , Decor"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241D-1164-4534-8EF2-F27E9B1594FE}">
  <dimension ref="A1:C10"/>
  <sheetViews>
    <sheetView workbookViewId="0">
      <selection activeCell="B2" sqref="B2"/>
    </sheetView>
  </sheetViews>
  <sheetFormatPr defaultRowHeight="14.4" x14ac:dyDescent="0.3"/>
  <cols>
    <col min="1" max="1" width="29.21875" bestFit="1" customWidth="1"/>
    <col min="2" max="2" width="24.33203125" customWidth="1"/>
    <col min="3" max="3" width="19.21875" bestFit="1" customWidth="1"/>
  </cols>
  <sheetData>
    <row r="1" spans="1:3" ht="21" x14ac:dyDescent="0.3">
      <c r="A1" s="6" t="s">
        <v>0</v>
      </c>
      <c r="B1" s="6" t="s">
        <v>6</v>
      </c>
      <c r="C1" s="6" t="s">
        <v>5</v>
      </c>
    </row>
    <row r="2" spans="1:3" ht="21" x14ac:dyDescent="0.4">
      <c r="A2" s="7" t="s">
        <v>40</v>
      </c>
      <c r="B2" s="8" t="str">
        <f>DGET(actual!$A$1:$J$331,Dget!B1,$A$1:A2)</f>
        <v>Male</v>
      </c>
      <c r="C2" s="8" t="str">
        <f>DGET(actual!$A$1:$J$331,Dget!C1,$A$1:B2)</f>
        <v>Maharashtra</v>
      </c>
    </row>
    <row r="3" spans="1:3" ht="21" x14ac:dyDescent="0.4">
      <c r="A3" s="7"/>
      <c r="B3" s="8"/>
      <c r="C3" s="8"/>
    </row>
    <row r="4" spans="1:3" ht="21" x14ac:dyDescent="0.4">
      <c r="A4" s="7"/>
      <c r="B4" s="8"/>
      <c r="C4" s="8"/>
    </row>
    <row r="5" spans="1:3" ht="21" x14ac:dyDescent="0.4">
      <c r="A5" s="7"/>
      <c r="B5" s="8"/>
      <c r="C5" s="8"/>
    </row>
    <row r="6" spans="1:3" ht="21" x14ac:dyDescent="0.4">
      <c r="A6" s="7"/>
      <c r="B6" s="8"/>
      <c r="C6" s="8"/>
    </row>
    <row r="7" spans="1:3" ht="21" x14ac:dyDescent="0.4">
      <c r="A7" s="7"/>
      <c r="B7" s="8"/>
      <c r="C7" s="8"/>
    </row>
    <row r="8" spans="1:3" ht="21" x14ac:dyDescent="0.4">
      <c r="A8" s="7"/>
      <c r="B8" s="8"/>
      <c r="C8" s="8"/>
    </row>
    <row r="9" spans="1:3" ht="21" x14ac:dyDescent="0.4">
      <c r="A9" s="7"/>
      <c r="B9" s="8"/>
      <c r="C9" s="8"/>
    </row>
    <row r="10" spans="1:3" ht="21" x14ac:dyDescent="0.4">
      <c r="A10" s="7"/>
      <c r="B10" s="8"/>
      <c r="C10" s="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6003A6-0C09-4421-8FE7-B97962F36EE8}">
          <x14:formula1>
            <xm:f>actual!$A$1:$J$1</xm:f>
          </x14:formula1>
          <xm:sqref>B1:C1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A984-1254-4C2F-965E-BB39D986834A}">
  <dimension ref="A1:F13"/>
  <sheetViews>
    <sheetView workbookViewId="0">
      <selection activeCell="A5" sqref="A5:B5"/>
    </sheetView>
  </sheetViews>
  <sheetFormatPr defaultRowHeight="14.4" x14ac:dyDescent="0.3"/>
  <cols>
    <col min="1" max="1" width="25" bestFit="1" customWidth="1"/>
    <col min="2" max="2" width="22.21875" customWidth="1"/>
    <col min="3" max="3" width="9.88671875" bestFit="1" customWidth="1"/>
    <col min="6" max="6" width="20.21875" bestFit="1" customWidth="1"/>
  </cols>
  <sheetData>
    <row r="1" spans="1:6" ht="18" x14ac:dyDescent="0.35">
      <c r="A1" s="28" t="str">
        <f>'Index + Match '!A1</f>
        <v>Name</v>
      </c>
      <c r="B1" s="29" t="s">
        <v>417</v>
      </c>
      <c r="F1" s="29" t="s">
        <v>417</v>
      </c>
    </row>
    <row r="2" spans="1:6" ht="18.600000000000001" thickBot="1" x14ac:dyDescent="0.35">
      <c r="A2" s="30" t="str">
        <f>'Index + Match '!A2</f>
        <v>Harmony Foods</v>
      </c>
      <c r="B2" s="31" t="s">
        <v>418</v>
      </c>
      <c r="E2" s="27" t="str" cm="1">
        <f t="array" ref="E2:E13">_xlfn.UNIQUE('Duplicate actual'!C2:C437)</f>
        <v>January</v>
      </c>
      <c r="F2" s="31" t="s">
        <v>418</v>
      </c>
    </row>
    <row r="3" spans="1:6" ht="18.600000000000001" thickBot="1" x14ac:dyDescent="0.35">
      <c r="A3" s="24"/>
      <c r="E3" s="27" t="str">
        <v>February</v>
      </c>
    </row>
    <row r="4" spans="1:6" ht="18" x14ac:dyDescent="0.3">
      <c r="A4" s="57" t="s">
        <v>430</v>
      </c>
      <c r="B4" s="58"/>
      <c r="E4" s="27" t="str">
        <v>March</v>
      </c>
    </row>
    <row r="5" spans="1:6" ht="18.600000000000001" thickBot="1" x14ac:dyDescent="0.35">
      <c r="A5" s="59">
        <f>DSUM('Duplicate actual'!$B$1:$L$437,'Duplicate actual'!$L$1,Dsum!$A$1:$B$2)</f>
        <v>4966948</v>
      </c>
      <c r="B5" s="60"/>
      <c r="E5" s="27" t="str">
        <v>April</v>
      </c>
    </row>
    <row r="6" spans="1:6" ht="18" x14ac:dyDescent="0.3">
      <c r="A6" s="24"/>
      <c r="E6" s="27" t="str">
        <v>May</v>
      </c>
    </row>
    <row r="7" spans="1:6" ht="18" x14ac:dyDescent="0.3">
      <c r="A7" s="24"/>
      <c r="E7" s="27" t="str">
        <v>June</v>
      </c>
    </row>
    <row r="8" spans="1:6" ht="18" x14ac:dyDescent="0.3">
      <c r="A8" s="24"/>
      <c r="E8" s="27" t="str">
        <v>July</v>
      </c>
    </row>
    <row r="9" spans="1:6" ht="18" x14ac:dyDescent="0.3">
      <c r="A9" s="24"/>
      <c r="E9" s="27" t="str">
        <v>August</v>
      </c>
    </row>
    <row r="10" spans="1:6" ht="18" x14ac:dyDescent="0.3">
      <c r="A10" s="24"/>
      <c r="E10" s="27" t="str">
        <v>September</v>
      </c>
    </row>
    <row r="11" spans="1:6" x14ac:dyDescent="0.3">
      <c r="E11" s="27" t="str">
        <v>October</v>
      </c>
    </row>
    <row r="12" spans="1:6" x14ac:dyDescent="0.3">
      <c r="E12" s="27" t="str">
        <v>November</v>
      </c>
    </row>
    <row r="13" spans="1:6" x14ac:dyDescent="0.3">
      <c r="E13" s="27" t="str">
        <v>December</v>
      </c>
    </row>
  </sheetData>
  <mergeCells count="2">
    <mergeCell ref="A4:B4"/>
    <mergeCell ref="A5:B5"/>
  </mergeCells>
  <dataValidations count="1">
    <dataValidation type="list" allowBlank="1" showInputMessage="1" showErrorMessage="1" sqref="B2 F2" xr:uid="{47DAF1B2-CF31-458A-BFF3-8BE4760085AE}">
      <formula1>$E$2:$E$13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78EA-D7C2-4B47-9040-33BA9140E35E}">
  <dimension ref="A1:J21"/>
  <sheetViews>
    <sheetView topLeftCell="B1" workbookViewId="0">
      <selection activeCell="J2" sqref="J2"/>
    </sheetView>
  </sheetViews>
  <sheetFormatPr defaultRowHeight="14.4" x14ac:dyDescent="0.3"/>
  <cols>
    <col min="1" max="1" width="29.6640625" bestFit="1" customWidth="1"/>
    <col min="2" max="2" width="11.5546875" customWidth="1"/>
    <col min="6" max="6" width="7.109375" customWidth="1"/>
    <col min="7" max="7" width="15.109375" customWidth="1"/>
    <col min="9" max="9" width="11" customWidth="1"/>
    <col min="10" max="10" width="24.5546875" customWidth="1"/>
  </cols>
  <sheetData>
    <row r="1" spans="1:10" ht="18" x14ac:dyDescent="0.3">
      <c r="A1" s="23" t="s">
        <v>431</v>
      </c>
      <c r="B1" s="23" t="s">
        <v>416</v>
      </c>
      <c r="F1" s="33" t="s">
        <v>432</v>
      </c>
      <c r="G1" s="33" t="s">
        <v>433</v>
      </c>
      <c r="I1" s="33" t="s">
        <v>432</v>
      </c>
      <c r="J1" s="33" t="s">
        <v>433</v>
      </c>
    </row>
    <row r="2" spans="1:10" ht="18" x14ac:dyDescent="0.3">
      <c r="A2" s="24" t="s">
        <v>40</v>
      </c>
      <c r="B2" s="24">
        <v>993659</v>
      </c>
      <c r="F2" s="32">
        <v>1</v>
      </c>
      <c r="G2" s="32" cm="1">
        <f t="array" ref="G2:G6">LARGE($B$2:$B$21,F2:F6)</f>
        <v>995011</v>
      </c>
      <c r="I2" s="32">
        <v>1</v>
      </c>
      <c r="J2" s="32" cm="1">
        <f t="array" ref="J2:J6">SMALL($B$2:$B$21,I2:I6)</f>
        <v>508792</v>
      </c>
    </row>
    <row r="3" spans="1:10" ht="18" x14ac:dyDescent="0.3">
      <c r="A3" s="24" t="s">
        <v>42</v>
      </c>
      <c r="B3" s="24">
        <v>564252</v>
      </c>
      <c r="F3" s="32">
        <v>2</v>
      </c>
      <c r="G3" s="32">
        <v>993659</v>
      </c>
      <c r="I3" s="32">
        <v>2</v>
      </c>
      <c r="J3" s="32">
        <v>564252</v>
      </c>
    </row>
    <row r="4" spans="1:10" ht="18" x14ac:dyDescent="0.3">
      <c r="A4" s="24" t="s">
        <v>46</v>
      </c>
      <c r="B4" s="24">
        <v>898645</v>
      </c>
      <c r="F4" s="32">
        <v>3</v>
      </c>
      <c r="G4" s="32">
        <v>950637</v>
      </c>
      <c r="I4" s="32">
        <v>3</v>
      </c>
      <c r="J4" s="32">
        <v>568913</v>
      </c>
    </row>
    <row r="5" spans="1:10" ht="18" x14ac:dyDescent="0.3">
      <c r="A5" s="24" t="s">
        <v>48</v>
      </c>
      <c r="B5" s="24">
        <v>783469</v>
      </c>
      <c r="F5" s="32">
        <v>4</v>
      </c>
      <c r="G5" s="32">
        <v>918994</v>
      </c>
      <c r="I5" s="32">
        <v>4</v>
      </c>
      <c r="J5" s="32">
        <v>576924</v>
      </c>
    </row>
    <row r="6" spans="1:10" ht="18" x14ac:dyDescent="0.3">
      <c r="A6" s="24" t="s">
        <v>51</v>
      </c>
      <c r="B6" s="24">
        <v>821743</v>
      </c>
      <c r="F6" s="32">
        <v>5</v>
      </c>
      <c r="G6" s="32">
        <v>898645</v>
      </c>
      <c r="I6" s="32">
        <v>5</v>
      </c>
      <c r="J6" s="32">
        <v>608609</v>
      </c>
    </row>
    <row r="7" spans="1:10" ht="18" x14ac:dyDescent="0.3">
      <c r="A7" s="24" t="s">
        <v>53</v>
      </c>
      <c r="B7" s="24">
        <v>568913</v>
      </c>
    </row>
    <row r="8" spans="1:10" ht="18" x14ac:dyDescent="0.3">
      <c r="A8" s="24" t="s">
        <v>55</v>
      </c>
      <c r="B8" s="24">
        <v>609456</v>
      </c>
    </row>
    <row r="9" spans="1:10" ht="18" x14ac:dyDescent="0.3">
      <c r="A9" s="24" t="s">
        <v>59</v>
      </c>
      <c r="B9" s="24">
        <v>608609</v>
      </c>
    </row>
    <row r="10" spans="1:10" ht="18" x14ac:dyDescent="0.3">
      <c r="A10" s="24" t="s">
        <v>62</v>
      </c>
      <c r="B10" s="24">
        <v>950637</v>
      </c>
    </row>
    <row r="11" spans="1:10" ht="18" x14ac:dyDescent="0.3">
      <c r="A11" s="24" t="s">
        <v>65</v>
      </c>
      <c r="B11" s="24">
        <v>995011</v>
      </c>
    </row>
    <row r="12" spans="1:10" ht="18" x14ac:dyDescent="0.3">
      <c r="A12" s="24" t="s">
        <v>67</v>
      </c>
      <c r="B12" s="24">
        <v>746424</v>
      </c>
    </row>
    <row r="13" spans="1:10" ht="18" x14ac:dyDescent="0.3">
      <c r="A13" s="24" t="s">
        <v>70</v>
      </c>
      <c r="B13" s="24">
        <v>508792</v>
      </c>
    </row>
    <row r="14" spans="1:10" ht="18" x14ac:dyDescent="0.3">
      <c r="A14" s="24" t="s">
        <v>73</v>
      </c>
      <c r="B14" s="24">
        <v>576924</v>
      </c>
    </row>
    <row r="15" spans="1:10" ht="18" x14ac:dyDescent="0.3">
      <c r="A15" s="24" t="s">
        <v>75</v>
      </c>
      <c r="B15" s="24">
        <v>674474</v>
      </c>
    </row>
    <row r="16" spans="1:10" ht="18" x14ac:dyDescent="0.3">
      <c r="A16" s="24" t="s">
        <v>77</v>
      </c>
      <c r="B16" s="24">
        <v>743014</v>
      </c>
    </row>
    <row r="17" spans="1:2" ht="18" x14ac:dyDescent="0.3">
      <c r="A17" s="24" t="s">
        <v>80</v>
      </c>
      <c r="B17" s="24">
        <v>720461</v>
      </c>
    </row>
    <row r="18" spans="1:2" ht="18" x14ac:dyDescent="0.3">
      <c r="A18" s="24" t="s">
        <v>82</v>
      </c>
      <c r="B18" s="24">
        <v>797708</v>
      </c>
    </row>
    <row r="19" spans="1:2" ht="18" x14ac:dyDescent="0.3">
      <c r="A19" s="24" t="s">
        <v>84</v>
      </c>
      <c r="B19" s="24">
        <v>918994</v>
      </c>
    </row>
    <row r="20" spans="1:2" ht="18" x14ac:dyDescent="0.3">
      <c r="A20" s="24" t="s">
        <v>86</v>
      </c>
      <c r="B20" s="24">
        <v>802656</v>
      </c>
    </row>
    <row r="21" spans="1:2" ht="18" x14ac:dyDescent="0.3">
      <c r="A21" s="24" t="s">
        <v>88</v>
      </c>
      <c r="B21" s="24">
        <v>898245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F3AD-1CC2-4E62-82FF-1FDD21B4321C}">
  <dimension ref="C1:AH2500"/>
  <sheetViews>
    <sheetView workbookViewId="0">
      <selection activeCell="E2" sqref="E1:AH10"/>
    </sheetView>
  </sheetViews>
  <sheetFormatPr defaultRowHeight="14.4" x14ac:dyDescent="0.3"/>
  <cols>
    <col min="5" max="5" width="16.88671875" bestFit="1" customWidth="1"/>
    <col min="6" max="7" width="16.77734375" bestFit="1" customWidth="1"/>
    <col min="8" max="8" width="16.5546875" bestFit="1" customWidth="1"/>
    <col min="9" max="11" width="16.77734375" bestFit="1" customWidth="1"/>
    <col min="12" max="12" width="16.5546875" bestFit="1" customWidth="1"/>
    <col min="13" max="19" width="16.77734375" bestFit="1" customWidth="1"/>
    <col min="20" max="20" width="16.5546875" bestFit="1" customWidth="1"/>
    <col min="21" max="26" width="16.77734375" bestFit="1" customWidth="1"/>
    <col min="27" max="28" width="16.5546875" bestFit="1" customWidth="1"/>
    <col min="29" max="31" width="16.77734375" bestFit="1" customWidth="1"/>
    <col min="32" max="32" width="16.5546875" bestFit="1" customWidth="1"/>
    <col min="33" max="34" width="16.77734375" bestFit="1" customWidth="1"/>
  </cols>
  <sheetData>
    <row r="1" spans="3:34" x14ac:dyDescent="0.3">
      <c r="C1" cm="1">
        <f t="array" ref="C1:C2500">_xlfn.SEQUENCE(2500)</f>
        <v>1</v>
      </c>
      <c r="E1" s="44" cm="1">
        <f t="array" aca="1" ref="E1:AH10" ca="1">_xlfn.SEQUENCE(10, 30,TODAY(),1)</f>
        <v>46035</v>
      </c>
      <c r="F1" s="44">
        <f ca="1"/>
        <v>46036</v>
      </c>
      <c r="G1" s="44">
        <f ca="1"/>
        <v>46037</v>
      </c>
      <c r="H1" s="44">
        <f ca="1"/>
        <v>46038</v>
      </c>
      <c r="I1" s="44">
        <f ca="1"/>
        <v>46039</v>
      </c>
      <c r="J1" s="44">
        <f ca="1"/>
        <v>46040</v>
      </c>
      <c r="K1" s="44">
        <f ca="1"/>
        <v>46041</v>
      </c>
      <c r="L1" s="44">
        <f ca="1"/>
        <v>46042</v>
      </c>
      <c r="M1" s="44">
        <f ca="1"/>
        <v>46043</v>
      </c>
      <c r="N1" s="44">
        <f ca="1"/>
        <v>46044</v>
      </c>
      <c r="O1" s="44">
        <f ca="1"/>
        <v>46045</v>
      </c>
      <c r="P1" s="44">
        <f ca="1"/>
        <v>46046</v>
      </c>
      <c r="Q1" s="44">
        <f ca="1"/>
        <v>46047</v>
      </c>
      <c r="R1" s="44">
        <f ca="1"/>
        <v>46048</v>
      </c>
      <c r="S1" s="44">
        <f ca="1"/>
        <v>46049</v>
      </c>
      <c r="T1" s="44">
        <f ca="1"/>
        <v>46050</v>
      </c>
      <c r="U1" s="44">
        <f ca="1"/>
        <v>46051</v>
      </c>
      <c r="V1" s="44">
        <f ca="1"/>
        <v>46052</v>
      </c>
      <c r="W1" s="44">
        <f ca="1"/>
        <v>46053</v>
      </c>
      <c r="X1" s="44">
        <f ca="1"/>
        <v>46054</v>
      </c>
      <c r="Y1" s="44">
        <f ca="1"/>
        <v>46055</v>
      </c>
      <c r="Z1" s="44">
        <f ca="1"/>
        <v>46056</v>
      </c>
      <c r="AA1" s="44">
        <f ca="1"/>
        <v>46057</v>
      </c>
      <c r="AB1" s="44">
        <f ca="1"/>
        <v>46058</v>
      </c>
      <c r="AC1" s="44">
        <f ca="1"/>
        <v>46059</v>
      </c>
      <c r="AD1" s="44">
        <f ca="1"/>
        <v>46060</v>
      </c>
      <c r="AE1" s="44">
        <f ca="1"/>
        <v>46061</v>
      </c>
      <c r="AF1" s="44">
        <f ca="1"/>
        <v>46062</v>
      </c>
      <c r="AG1" s="44">
        <f ca="1"/>
        <v>46063</v>
      </c>
      <c r="AH1" s="44">
        <f ca="1"/>
        <v>46064</v>
      </c>
    </row>
    <row r="2" spans="3:34" x14ac:dyDescent="0.3">
      <c r="C2">
        <v>2</v>
      </c>
      <c r="E2" s="44">
        <f ca="1"/>
        <v>46065</v>
      </c>
      <c r="F2" s="44">
        <f ca="1"/>
        <v>46066</v>
      </c>
      <c r="G2" s="44">
        <f ca="1"/>
        <v>46067</v>
      </c>
      <c r="H2" s="44">
        <f ca="1"/>
        <v>46068</v>
      </c>
      <c r="I2" s="44">
        <f ca="1"/>
        <v>46069</v>
      </c>
      <c r="J2" s="44">
        <f ca="1"/>
        <v>46070</v>
      </c>
      <c r="K2" s="44">
        <f ca="1"/>
        <v>46071</v>
      </c>
      <c r="L2" s="44">
        <f ca="1"/>
        <v>46072</v>
      </c>
      <c r="M2" s="44">
        <f ca="1"/>
        <v>46073</v>
      </c>
      <c r="N2" s="44">
        <f ca="1"/>
        <v>46074</v>
      </c>
      <c r="O2" s="44">
        <f ca="1"/>
        <v>46075</v>
      </c>
      <c r="P2" s="44">
        <f ca="1"/>
        <v>46076</v>
      </c>
      <c r="Q2" s="44">
        <f ca="1"/>
        <v>46077</v>
      </c>
      <c r="R2" s="44">
        <f ca="1"/>
        <v>46078</v>
      </c>
      <c r="S2" s="44">
        <f ca="1"/>
        <v>46079</v>
      </c>
      <c r="T2" s="44">
        <f ca="1"/>
        <v>46080</v>
      </c>
      <c r="U2" s="44">
        <f ca="1"/>
        <v>46081</v>
      </c>
      <c r="V2" s="44">
        <f ca="1"/>
        <v>46082</v>
      </c>
      <c r="W2" s="44">
        <f ca="1"/>
        <v>46083</v>
      </c>
      <c r="X2" s="44">
        <f ca="1"/>
        <v>46084</v>
      </c>
      <c r="Y2" s="44">
        <f ca="1"/>
        <v>46085</v>
      </c>
      <c r="Z2" s="44">
        <f ca="1"/>
        <v>46086</v>
      </c>
      <c r="AA2" s="44">
        <f ca="1"/>
        <v>46087</v>
      </c>
      <c r="AB2" s="44">
        <f ca="1"/>
        <v>46088</v>
      </c>
      <c r="AC2" s="44">
        <f ca="1"/>
        <v>46089</v>
      </c>
      <c r="AD2" s="44">
        <f ca="1"/>
        <v>46090</v>
      </c>
      <c r="AE2" s="44">
        <f ca="1"/>
        <v>46091</v>
      </c>
      <c r="AF2" s="44">
        <f ca="1"/>
        <v>46092</v>
      </c>
      <c r="AG2" s="44">
        <f ca="1"/>
        <v>46093</v>
      </c>
      <c r="AH2" s="44">
        <f ca="1"/>
        <v>46094</v>
      </c>
    </row>
    <row r="3" spans="3:34" x14ac:dyDescent="0.3">
      <c r="C3">
        <v>3</v>
      </c>
      <c r="E3" s="44">
        <f ca="1"/>
        <v>46095</v>
      </c>
      <c r="F3" s="44">
        <f ca="1"/>
        <v>46096</v>
      </c>
      <c r="G3" s="44">
        <f ca="1"/>
        <v>46097</v>
      </c>
      <c r="H3" s="44">
        <f ca="1"/>
        <v>46098</v>
      </c>
      <c r="I3" s="44">
        <f ca="1"/>
        <v>46099</v>
      </c>
      <c r="J3" s="44">
        <f ca="1"/>
        <v>46100</v>
      </c>
      <c r="K3" s="44">
        <f ca="1"/>
        <v>46101</v>
      </c>
      <c r="L3" s="44">
        <f ca="1"/>
        <v>46102</v>
      </c>
      <c r="M3" s="44">
        <f ca="1"/>
        <v>46103</v>
      </c>
      <c r="N3" s="44">
        <f ca="1"/>
        <v>46104</v>
      </c>
      <c r="O3" s="44">
        <f ca="1"/>
        <v>46105</v>
      </c>
      <c r="P3" s="44">
        <f ca="1"/>
        <v>46106</v>
      </c>
      <c r="Q3" s="44">
        <f ca="1"/>
        <v>46107</v>
      </c>
      <c r="R3" s="44">
        <f ca="1"/>
        <v>46108</v>
      </c>
      <c r="S3" s="44">
        <f ca="1"/>
        <v>46109</v>
      </c>
      <c r="T3" s="44">
        <f ca="1"/>
        <v>46110</v>
      </c>
      <c r="U3" s="44">
        <f ca="1"/>
        <v>46111</v>
      </c>
      <c r="V3" s="44">
        <f ca="1"/>
        <v>46112</v>
      </c>
      <c r="W3" s="44">
        <f ca="1"/>
        <v>46113</v>
      </c>
      <c r="X3" s="44">
        <f ca="1"/>
        <v>46114</v>
      </c>
      <c r="Y3" s="44">
        <f ca="1"/>
        <v>46115</v>
      </c>
      <c r="Z3" s="44">
        <f ca="1"/>
        <v>46116</v>
      </c>
      <c r="AA3" s="44">
        <f ca="1"/>
        <v>46117</v>
      </c>
      <c r="AB3" s="44">
        <f ca="1"/>
        <v>46118</v>
      </c>
      <c r="AC3" s="44">
        <f ca="1"/>
        <v>46119</v>
      </c>
      <c r="AD3" s="44">
        <f ca="1"/>
        <v>46120</v>
      </c>
      <c r="AE3" s="44">
        <f ca="1"/>
        <v>46121</v>
      </c>
      <c r="AF3" s="44">
        <f ca="1"/>
        <v>46122</v>
      </c>
      <c r="AG3" s="44">
        <f ca="1"/>
        <v>46123</v>
      </c>
      <c r="AH3" s="44">
        <f ca="1"/>
        <v>46124</v>
      </c>
    </row>
    <row r="4" spans="3:34" x14ac:dyDescent="0.3">
      <c r="C4">
        <v>4</v>
      </c>
      <c r="E4" s="44">
        <f ca="1"/>
        <v>46125</v>
      </c>
      <c r="F4" s="44">
        <f ca="1"/>
        <v>46126</v>
      </c>
      <c r="G4" s="44">
        <f ca="1"/>
        <v>46127</v>
      </c>
      <c r="H4" s="44">
        <f ca="1"/>
        <v>46128</v>
      </c>
      <c r="I4" s="44">
        <f ca="1"/>
        <v>46129</v>
      </c>
      <c r="J4" s="44">
        <f ca="1"/>
        <v>46130</v>
      </c>
      <c r="K4" s="44">
        <f ca="1"/>
        <v>46131</v>
      </c>
      <c r="L4" s="44">
        <f ca="1"/>
        <v>46132</v>
      </c>
      <c r="M4" s="44">
        <f ca="1"/>
        <v>46133</v>
      </c>
      <c r="N4" s="44">
        <f ca="1"/>
        <v>46134</v>
      </c>
      <c r="O4" s="44">
        <f ca="1"/>
        <v>46135</v>
      </c>
      <c r="P4" s="44">
        <f ca="1"/>
        <v>46136</v>
      </c>
      <c r="Q4" s="44">
        <f ca="1"/>
        <v>46137</v>
      </c>
      <c r="R4" s="44">
        <f ca="1"/>
        <v>46138</v>
      </c>
      <c r="S4" s="44">
        <f ca="1"/>
        <v>46139</v>
      </c>
      <c r="T4" s="44">
        <f ca="1"/>
        <v>46140</v>
      </c>
      <c r="U4" s="44">
        <f ca="1"/>
        <v>46141</v>
      </c>
      <c r="V4" s="44">
        <f ca="1"/>
        <v>46142</v>
      </c>
      <c r="W4" s="44">
        <f ca="1"/>
        <v>46143</v>
      </c>
      <c r="X4" s="44">
        <f ca="1"/>
        <v>46144</v>
      </c>
      <c r="Y4" s="44">
        <f ca="1"/>
        <v>46145</v>
      </c>
      <c r="Z4" s="44">
        <f ca="1"/>
        <v>46146</v>
      </c>
      <c r="AA4" s="44">
        <f ca="1"/>
        <v>46147</v>
      </c>
      <c r="AB4" s="44">
        <f ca="1"/>
        <v>46148</v>
      </c>
      <c r="AC4" s="44">
        <f ca="1"/>
        <v>46149</v>
      </c>
      <c r="AD4" s="44">
        <f ca="1"/>
        <v>46150</v>
      </c>
      <c r="AE4" s="44">
        <f ca="1"/>
        <v>46151</v>
      </c>
      <c r="AF4" s="44">
        <f ca="1"/>
        <v>46152</v>
      </c>
      <c r="AG4" s="44">
        <f ca="1"/>
        <v>46153</v>
      </c>
      <c r="AH4" s="44">
        <f ca="1"/>
        <v>46154</v>
      </c>
    </row>
    <row r="5" spans="3:34" x14ac:dyDescent="0.3">
      <c r="C5">
        <v>5</v>
      </c>
      <c r="E5" s="44">
        <f ca="1"/>
        <v>46155</v>
      </c>
      <c r="F5" s="44">
        <f ca="1"/>
        <v>46156</v>
      </c>
      <c r="G5" s="44">
        <f ca="1"/>
        <v>46157</v>
      </c>
      <c r="H5" s="44">
        <f ca="1"/>
        <v>46158</v>
      </c>
      <c r="I5" s="44">
        <f ca="1"/>
        <v>46159</v>
      </c>
      <c r="J5" s="44">
        <f ca="1"/>
        <v>46160</v>
      </c>
      <c r="K5" s="44">
        <f ca="1"/>
        <v>46161</v>
      </c>
      <c r="L5" s="44">
        <f ca="1"/>
        <v>46162</v>
      </c>
      <c r="M5" s="44">
        <f ca="1"/>
        <v>46163</v>
      </c>
      <c r="N5" s="44">
        <f ca="1"/>
        <v>46164</v>
      </c>
      <c r="O5" s="44">
        <f ca="1"/>
        <v>46165</v>
      </c>
      <c r="P5" s="44">
        <f ca="1"/>
        <v>46166</v>
      </c>
      <c r="Q5" s="44">
        <f ca="1"/>
        <v>46167</v>
      </c>
      <c r="R5" s="44">
        <f ca="1"/>
        <v>46168</v>
      </c>
      <c r="S5" s="44">
        <f ca="1"/>
        <v>46169</v>
      </c>
      <c r="T5" s="44">
        <f ca="1"/>
        <v>46170</v>
      </c>
      <c r="U5" s="44">
        <f ca="1"/>
        <v>46171</v>
      </c>
      <c r="V5" s="44">
        <f ca="1"/>
        <v>46172</v>
      </c>
      <c r="W5" s="44">
        <f ca="1"/>
        <v>46173</v>
      </c>
      <c r="X5" s="44">
        <f ca="1"/>
        <v>46174</v>
      </c>
      <c r="Y5" s="44">
        <f ca="1"/>
        <v>46175</v>
      </c>
      <c r="Z5" s="44">
        <f ca="1"/>
        <v>46176</v>
      </c>
      <c r="AA5" s="44">
        <f ca="1"/>
        <v>46177</v>
      </c>
      <c r="AB5" s="44">
        <f ca="1"/>
        <v>46178</v>
      </c>
      <c r="AC5" s="44">
        <f ca="1"/>
        <v>46179</v>
      </c>
      <c r="AD5" s="44">
        <f ca="1"/>
        <v>46180</v>
      </c>
      <c r="AE5" s="44">
        <f ca="1"/>
        <v>46181</v>
      </c>
      <c r="AF5" s="44">
        <f ca="1"/>
        <v>46182</v>
      </c>
      <c r="AG5" s="44">
        <f ca="1"/>
        <v>46183</v>
      </c>
      <c r="AH5" s="44">
        <f ca="1"/>
        <v>46184</v>
      </c>
    </row>
    <row r="6" spans="3:34" x14ac:dyDescent="0.3">
      <c r="C6">
        <v>6</v>
      </c>
      <c r="E6" s="44">
        <f ca="1"/>
        <v>46185</v>
      </c>
      <c r="F6" s="44">
        <f ca="1"/>
        <v>46186</v>
      </c>
      <c r="G6" s="44">
        <f ca="1"/>
        <v>46187</v>
      </c>
      <c r="H6" s="44">
        <f ca="1"/>
        <v>46188</v>
      </c>
      <c r="I6" s="44">
        <f ca="1"/>
        <v>46189</v>
      </c>
      <c r="J6" s="44">
        <f ca="1"/>
        <v>46190</v>
      </c>
      <c r="K6" s="44">
        <f ca="1"/>
        <v>46191</v>
      </c>
      <c r="L6" s="44">
        <f ca="1"/>
        <v>46192</v>
      </c>
      <c r="M6" s="44">
        <f ca="1"/>
        <v>46193</v>
      </c>
      <c r="N6" s="44">
        <f ca="1"/>
        <v>46194</v>
      </c>
      <c r="O6" s="44">
        <f ca="1"/>
        <v>46195</v>
      </c>
      <c r="P6" s="44">
        <f ca="1"/>
        <v>46196</v>
      </c>
      <c r="Q6" s="44">
        <f ca="1"/>
        <v>46197</v>
      </c>
      <c r="R6" s="44">
        <f ca="1"/>
        <v>46198</v>
      </c>
      <c r="S6" s="44">
        <f ca="1"/>
        <v>46199</v>
      </c>
      <c r="T6" s="44">
        <f ca="1"/>
        <v>46200</v>
      </c>
      <c r="U6" s="44">
        <f ca="1"/>
        <v>46201</v>
      </c>
      <c r="V6" s="44">
        <f ca="1"/>
        <v>46202</v>
      </c>
      <c r="W6" s="44">
        <f ca="1"/>
        <v>46203</v>
      </c>
      <c r="X6" s="44">
        <f ca="1"/>
        <v>46204</v>
      </c>
      <c r="Y6" s="44">
        <f ca="1"/>
        <v>46205</v>
      </c>
      <c r="Z6" s="44">
        <f ca="1"/>
        <v>46206</v>
      </c>
      <c r="AA6" s="44">
        <f ca="1"/>
        <v>46207</v>
      </c>
      <c r="AB6" s="44">
        <f ca="1"/>
        <v>46208</v>
      </c>
      <c r="AC6" s="44">
        <f ca="1"/>
        <v>46209</v>
      </c>
      <c r="AD6" s="44">
        <f ca="1"/>
        <v>46210</v>
      </c>
      <c r="AE6" s="44">
        <f ca="1"/>
        <v>46211</v>
      </c>
      <c r="AF6" s="44">
        <f ca="1"/>
        <v>46212</v>
      </c>
      <c r="AG6" s="44">
        <f ca="1"/>
        <v>46213</v>
      </c>
      <c r="AH6" s="44">
        <f ca="1"/>
        <v>46214</v>
      </c>
    </row>
    <row r="7" spans="3:34" x14ac:dyDescent="0.3">
      <c r="C7">
        <v>7</v>
      </c>
      <c r="E7" s="44">
        <f ca="1"/>
        <v>46215</v>
      </c>
      <c r="F7" s="44">
        <f ca="1"/>
        <v>46216</v>
      </c>
      <c r="G7" s="44">
        <f ca="1"/>
        <v>46217</v>
      </c>
      <c r="H7" s="44">
        <f ca="1"/>
        <v>46218</v>
      </c>
      <c r="I7" s="44">
        <f ca="1"/>
        <v>46219</v>
      </c>
      <c r="J7" s="44">
        <f ca="1"/>
        <v>46220</v>
      </c>
      <c r="K7" s="44">
        <f ca="1"/>
        <v>46221</v>
      </c>
      <c r="L7" s="44">
        <f ca="1"/>
        <v>46222</v>
      </c>
      <c r="M7" s="44">
        <f ca="1"/>
        <v>46223</v>
      </c>
      <c r="N7" s="44">
        <f ca="1"/>
        <v>46224</v>
      </c>
      <c r="O7" s="44">
        <f ca="1"/>
        <v>46225</v>
      </c>
      <c r="P7" s="44">
        <f ca="1"/>
        <v>46226</v>
      </c>
      <c r="Q7" s="44">
        <f ca="1"/>
        <v>46227</v>
      </c>
      <c r="R7" s="44">
        <f ca="1"/>
        <v>46228</v>
      </c>
      <c r="S7" s="44">
        <f ca="1"/>
        <v>46229</v>
      </c>
      <c r="T7" s="44">
        <f ca="1"/>
        <v>46230</v>
      </c>
      <c r="U7" s="44">
        <f ca="1"/>
        <v>46231</v>
      </c>
      <c r="V7" s="44">
        <f ca="1"/>
        <v>46232</v>
      </c>
      <c r="W7" s="44">
        <f ca="1"/>
        <v>46233</v>
      </c>
      <c r="X7" s="44">
        <f ca="1"/>
        <v>46234</v>
      </c>
      <c r="Y7" s="44">
        <f ca="1"/>
        <v>46235</v>
      </c>
      <c r="Z7" s="44">
        <f ca="1"/>
        <v>46236</v>
      </c>
      <c r="AA7" s="44">
        <f ca="1"/>
        <v>46237</v>
      </c>
      <c r="AB7" s="44">
        <f ca="1"/>
        <v>46238</v>
      </c>
      <c r="AC7" s="44">
        <f ca="1"/>
        <v>46239</v>
      </c>
      <c r="AD7" s="44">
        <f ca="1"/>
        <v>46240</v>
      </c>
      <c r="AE7" s="44">
        <f ca="1"/>
        <v>46241</v>
      </c>
      <c r="AF7" s="44">
        <f ca="1"/>
        <v>46242</v>
      </c>
      <c r="AG7" s="44">
        <f ca="1"/>
        <v>46243</v>
      </c>
      <c r="AH7" s="44">
        <f ca="1"/>
        <v>46244</v>
      </c>
    </row>
    <row r="8" spans="3:34" x14ac:dyDescent="0.3">
      <c r="C8">
        <v>8</v>
      </c>
      <c r="E8" s="44">
        <f ca="1"/>
        <v>46245</v>
      </c>
      <c r="F8" s="44">
        <f ca="1"/>
        <v>46246</v>
      </c>
      <c r="G8" s="44">
        <f ca="1"/>
        <v>46247</v>
      </c>
      <c r="H8" s="44">
        <f ca="1"/>
        <v>46248</v>
      </c>
      <c r="I8" s="44">
        <f ca="1"/>
        <v>46249</v>
      </c>
      <c r="J8" s="44">
        <f ca="1"/>
        <v>46250</v>
      </c>
      <c r="K8" s="44">
        <f ca="1"/>
        <v>46251</v>
      </c>
      <c r="L8" s="44">
        <f ca="1"/>
        <v>46252</v>
      </c>
      <c r="M8" s="44">
        <f ca="1"/>
        <v>46253</v>
      </c>
      <c r="N8" s="44">
        <f ca="1"/>
        <v>46254</v>
      </c>
      <c r="O8" s="44">
        <f ca="1"/>
        <v>46255</v>
      </c>
      <c r="P8" s="44">
        <f ca="1"/>
        <v>46256</v>
      </c>
      <c r="Q8" s="44">
        <f ca="1"/>
        <v>46257</v>
      </c>
      <c r="R8" s="44">
        <f ca="1"/>
        <v>46258</v>
      </c>
      <c r="S8" s="44">
        <f ca="1"/>
        <v>46259</v>
      </c>
      <c r="T8" s="44">
        <f ca="1"/>
        <v>46260</v>
      </c>
      <c r="U8" s="44">
        <f ca="1"/>
        <v>46261</v>
      </c>
      <c r="V8" s="44">
        <f ca="1"/>
        <v>46262</v>
      </c>
      <c r="W8" s="44">
        <f ca="1"/>
        <v>46263</v>
      </c>
      <c r="X8" s="44">
        <f ca="1"/>
        <v>46264</v>
      </c>
      <c r="Y8" s="44">
        <f ca="1"/>
        <v>46265</v>
      </c>
      <c r="Z8" s="44">
        <f ca="1"/>
        <v>46266</v>
      </c>
      <c r="AA8" s="44">
        <f ca="1"/>
        <v>46267</v>
      </c>
      <c r="AB8" s="44">
        <f ca="1"/>
        <v>46268</v>
      </c>
      <c r="AC8" s="44">
        <f ca="1"/>
        <v>46269</v>
      </c>
      <c r="AD8" s="44">
        <f ca="1"/>
        <v>46270</v>
      </c>
      <c r="AE8" s="44">
        <f ca="1"/>
        <v>46271</v>
      </c>
      <c r="AF8" s="44">
        <f ca="1"/>
        <v>46272</v>
      </c>
      <c r="AG8" s="44">
        <f ca="1"/>
        <v>46273</v>
      </c>
      <c r="AH8" s="44">
        <f ca="1"/>
        <v>46274</v>
      </c>
    </row>
    <row r="9" spans="3:34" x14ac:dyDescent="0.3">
      <c r="C9">
        <v>9</v>
      </c>
      <c r="E9" s="44">
        <f ca="1"/>
        <v>46275</v>
      </c>
      <c r="F9" s="44">
        <f ca="1"/>
        <v>46276</v>
      </c>
      <c r="G9" s="44">
        <f ca="1"/>
        <v>46277</v>
      </c>
      <c r="H9" s="44">
        <f ca="1"/>
        <v>46278</v>
      </c>
      <c r="I9" s="44">
        <f ca="1"/>
        <v>46279</v>
      </c>
      <c r="J9" s="44">
        <f ca="1"/>
        <v>46280</v>
      </c>
      <c r="K9" s="44">
        <f ca="1"/>
        <v>46281</v>
      </c>
      <c r="L9" s="44">
        <f ca="1"/>
        <v>46282</v>
      </c>
      <c r="M9" s="44">
        <f ca="1"/>
        <v>46283</v>
      </c>
      <c r="N9" s="44">
        <f ca="1"/>
        <v>46284</v>
      </c>
      <c r="O9" s="44">
        <f ca="1"/>
        <v>46285</v>
      </c>
      <c r="P9" s="44">
        <f ca="1"/>
        <v>46286</v>
      </c>
      <c r="Q9" s="44">
        <f ca="1"/>
        <v>46287</v>
      </c>
      <c r="R9" s="44">
        <f ca="1"/>
        <v>46288</v>
      </c>
      <c r="S9" s="44">
        <f ca="1"/>
        <v>46289</v>
      </c>
      <c r="T9" s="44">
        <f ca="1"/>
        <v>46290</v>
      </c>
      <c r="U9" s="44">
        <f ca="1"/>
        <v>46291</v>
      </c>
      <c r="V9" s="44">
        <f ca="1"/>
        <v>46292</v>
      </c>
      <c r="W9" s="44">
        <f ca="1"/>
        <v>46293</v>
      </c>
      <c r="X9" s="44">
        <f ca="1"/>
        <v>46294</v>
      </c>
      <c r="Y9" s="44">
        <f ca="1"/>
        <v>46295</v>
      </c>
      <c r="Z9" s="44">
        <f ca="1"/>
        <v>46296</v>
      </c>
      <c r="AA9" s="44">
        <f ca="1"/>
        <v>46297</v>
      </c>
      <c r="AB9" s="44">
        <f ca="1"/>
        <v>46298</v>
      </c>
      <c r="AC9" s="44">
        <f ca="1"/>
        <v>46299</v>
      </c>
      <c r="AD9" s="44">
        <f ca="1"/>
        <v>46300</v>
      </c>
      <c r="AE9" s="44">
        <f ca="1"/>
        <v>46301</v>
      </c>
      <c r="AF9" s="44">
        <f ca="1"/>
        <v>46302</v>
      </c>
      <c r="AG9" s="44">
        <f ca="1"/>
        <v>46303</v>
      </c>
      <c r="AH9" s="44">
        <f ca="1"/>
        <v>46304</v>
      </c>
    </row>
    <row r="10" spans="3:34" x14ac:dyDescent="0.3">
      <c r="C10">
        <v>10</v>
      </c>
      <c r="E10" s="44">
        <f ca="1"/>
        <v>46305</v>
      </c>
      <c r="F10" s="44">
        <f ca="1"/>
        <v>46306</v>
      </c>
      <c r="G10" s="44">
        <f ca="1"/>
        <v>46307</v>
      </c>
      <c r="H10" s="44">
        <f ca="1"/>
        <v>46308</v>
      </c>
      <c r="I10" s="44">
        <f ca="1"/>
        <v>46309</v>
      </c>
      <c r="J10" s="44">
        <f ca="1"/>
        <v>46310</v>
      </c>
      <c r="K10" s="44">
        <f ca="1"/>
        <v>46311</v>
      </c>
      <c r="L10" s="44">
        <f ca="1"/>
        <v>46312</v>
      </c>
      <c r="M10" s="44">
        <f ca="1"/>
        <v>46313</v>
      </c>
      <c r="N10" s="44">
        <f ca="1"/>
        <v>46314</v>
      </c>
      <c r="O10" s="44">
        <f ca="1"/>
        <v>46315</v>
      </c>
      <c r="P10" s="44">
        <f ca="1"/>
        <v>46316</v>
      </c>
      <c r="Q10" s="44">
        <f ca="1"/>
        <v>46317</v>
      </c>
      <c r="R10" s="44">
        <f ca="1"/>
        <v>46318</v>
      </c>
      <c r="S10" s="44">
        <f ca="1"/>
        <v>46319</v>
      </c>
      <c r="T10" s="44">
        <f ca="1"/>
        <v>46320</v>
      </c>
      <c r="U10" s="44">
        <f ca="1"/>
        <v>46321</v>
      </c>
      <c r="V10" s="44">
        <f ca="1"/>
        <v>46322</v>
      </c>
      <c r="W10" s="44">
        <f ca="1"/>
        <v>46323</v>
      </c>
      <c r="X10" s="44">
        <f ca="1"/>
        <v>46324</v>
      </c>
      <c r="Y10" s="44">
        <f ca="1"/>
        <v>46325</v>
      </c>
      <c r="Z10" s="44">
        <f ca="1"/>
        <v>46326</v>
      </c>
      <c r="AA10" s="44">
        <f ca="1"/>
        <v>46327</v>
      </c>
      <c r="AB10" s="44">
        <f ca="1"/>
        <v>46328</v>
      </c>
      <c r="AC10" s="44">
        <f ca="1"/>
        <v>46329</v>
      </c>
      <c r="AD10" s="44">
        <f ca="1"/>
        <v>46330</v>
      </c>
      <c r="AE10" s="44">
        <f ca="1"/>
        <v>46331</v>
      </c>
      <c r="AF10" s="44">
        <f ca="1"/>
        <v>46332</v>
      </c>
      <c r="AG10" s="44">
        <f ca="1"/>
        <v>46333</v>
      </c>
      <c r="AH10" s="44">
        <f ca="1"/>
        <v>46334</v>
      </c>
    </row>
    <row r="11" spans="3:34" x14ac:dyDescent="0.3">
      <c r="C11">
        <v>11</v>
      </c>
    </row>
    <row r="12" spans="3:34" x14ac:dyDescent="0.3">
      <c r="C12">
        <v>12</v>
      </c>
    </row>
    <row r="13" spans="3:34" x14ac:dyDescent="0.3">
      <c r="C13">
        <v>13</v>
      </c>
    </row>
    <row r="14" spans="3:34" x14ac:dyDescent="0.3">
      <c r="C14">
        <v>14</v>
      </c>
    </row>
    <row r="15" spans="3:34" x14ac:dyDescent="0.3">
      <c r="C15">
        <v>15</v>
      </c>
    </row>
    <row r="16" spans="3:34" x14ac:dyDescent="0.3">
      <c r="C16">
        <v>16</v>
      </c>
    </row>
    <row r="17" spans="3:3" x14ac:dyDescent="0.3">
      <c r="C17">
        <v>17</v>
      </c>
    </row>
    <row r="18" spans="3:3" x14ac:dyDescent="0.3">
      <c r="C18">
        <v>18</v>
      </c>
    </row>
    <row r="19" spans="3:3" x14ac:dyDescent="0.3">
      <c r="C19">
        <v>19</v>
      </c>
    </row>
    <row r="20" spans="3:3" x14ac:dyDescent="0.3">
      <c r="C20">
        <v>20</v>
      </c>
    </row>
    <row r="21" spans="3:3" x14ac:dyDescent="0.3">
      <c r="C21">
        <v>21</v>
      </c>
    </row>
    <row r="22" spans="3:3" x14ac:dyDescent="0.3">
      <c r="C22">
        <v>22</v>
      </c>
    </row>
    <row r="23" spans="3:3" x14ac:dyDescent="0.3">
      <c r="C23">
        <v>23</v>
      </c>
    </row>
    <row r="24" spans="3:3" x14ac:dyDescent="0.3">
      <c r="C24">
        <v>24</v>
      </c>
    </row>
    <row r="25" spans="3:3" x14ac:dyDescent="0.3">
      <c r="C25">
        <v>25</v>
      </c>
    </row>
    <row r="26" spans="3:3" x14ac:dyDescent="0.3">
      <c r="C26">
        <v>26</v>
      </c>
    </row>
    <row r="27" spans="3:3" x14ac:dyDescent="0.3">
      <c r="C27">
        <v>27</v>
      </c>
    </row>
    <row r="28" spans="3:3" x14ac:dyDescent="0.3">
      <c r="C28">
        <v>28</v>
      </c>
    </row>
    <row r="29" spans="3:3" x14ac:dyDescent="0.3">
      <c r="C29">
        <v>29</v>
      </c>
    </row>
    <row r="30" spans="3:3" x14ac:dyDescent="0.3">
      <c r="C30">
        <v>30</v>
      </c>
    </row>
    <row r="31" spans="3:3" x14ac:dyDescent="0.3">
      <c r="C31">
        <v>31</v>
      </c>
    </row>
    <row r="32" spans="3:3" x14ac:dyDescent="0.3">
      <c r="C32">
        <v>32</v>
      </c>
    </row>
    <row r="33" spans="3:3" x14ac:dyDescent="0.3">
      <c r="C33">
        <v>33</v>
      </c>
    </row>
    <row r="34" spans="3:3" x14ac:dyDescent="0.3">
      <c r="C34">
        <v>34</v>
      </c>
    </row>
    <row r="35" spans="3:3" x14ac:dyDescent="0.3">
      <c r="C35">
        <v>35</v>
      </c>
    </row>
    <row r="36" spans="3:3" x14ac:dyDescent="0.3">
      <c r="C36">
        <v>36</v>
      </c>
    </row>
    <row r="37" spans="3:3" x14ac:dyDescent="0.3">
      <c r="C37">
        <v>37</v>
      </c>
    </row>
    <row r="38" spans="3:3" x14ac:dyDescent="0.3">
      <c r="C38">
        <v>38</v>
      </c>
    </row>
    <row r="39" spans="3:3" x14ac:dyDescent="0.3">
      <c r="C39">
        <v>39</v>
      </c>
    </row>
    <row r="40" spans="3:3" x14ac:dyDescent="0.3">
      <c r="C40">
        <v>40</v>
      </c>
    </row>
    <row r="41" spans="3:3" x14ac:dyDescent="0.3">
      <c r="C41">
        <v>41</v>
      </c>
    </row>
    <row r="42" spans="3:3" x14ac:dyDescent="0.3">
      <c r="C42">
        <v>42</v>
      </c>
    </row>
    <row r="43" spans="3:3" x14ac:dyDescent="0.3">
      <c r="C43">
        <v>43</v>
      </c>
    </row>
    <row r="44" spans="3:3" x14ac:dyDescent="0.3">
      <c r="C44">
        <v>44</v>
      </c>
    </row>
    <row r="45" spans="3:3" x14ac:dyDescent="0.3">
      <c r="C45">
        <v>45</v>
      </c>
    </row>
    <row r="46" spans="3:3" x14ac:dyDescent="0.3">
      <c r="C46">
        <v>46</v>
      </c>
    </row>
    <row r="47" spans="3:3" x14ac:dyDescent="0.3">
      <c r="C47">
        <v>47</v>
      </c>
    </row>
    <row r="48" spans="3:3" x14ac:dyDescent="0.3">
      <c r="C48">
        <v>48</v>
      </c>
    </row>
    <row r="49" spans="3:3" x14ac:dyDescent="0.3">
      <c r="C49">
        <v>49</v>
      </c>
    </row>
    <row r="50" spans="3:3" x14ac:dyDescent="0.3">
      <c r="C50">
        <v>50</v>
      </c>
    </row>
    <row r="51" spans="3:3" x14ac:dyDescent="0.3">
      <c r="C51">
        <v>51</v>
      </c>
    </row>
    <row r="52" spans="3:3" x14ac:dyDescent="0.3">
      <c r="C52">
        <v>52</v>
      </c>
    </row>
    <row r="53" spans="3:3" x14ac:dyDescent="0.3">
      <c r="C53">
        <v>53</v>
      </c>
    </row>
    <row r="54" spans="3:3" x14ac:dyDescent="0.3">
      <c r="C54">
        <v>54</v>
      </c>
    </row>
    <row r="55" spans="3:3" x14ac:dyDescent="0.3">
      <c r="C55">
        <v>55</v>
      </c>
    </row>
    <row r="56" spans="3:3" x14ac:dyDescent="0.3">
      <c r="C56">
        <v>56</v>
      </c>
    </row>
    <row r="57" spans="3:3" x14ac:dyDescent="0.3">
      <c r="C57">
        <v>57</v>
      </c>
    </row>
    <row r="58" spans="3:3" x14ac:dyDescent="0.3">
      <c r="C58">
        <v>58</v>
      </c>
    </row>
    <row r="59" spans="3:3" x14ac:dyDescent="0.3">
      <c r="C59">
        <v>59</v>
      </c>
    </row>
    <row r="60" spans="3:3" x14ac:dyDescent="0.3">
      <c r="C60">
        <v>60</v>
      </c>
    </row>
    <row r="61" spans="3:3" x14ac:dyDescent="0.3">
      <c r="C61">
        <v>61</v>
      </c>
    </row>
    <row r="62" spans="3:3" x14ac:dyDescent="0.3">
      <c r="C62">
        <v>62</v>
      </c>
    </row>
    <row r="63" spans="3:3" x14ac:dyDescent="0.3">
      <c r="C63">
        <v>63</v>
      </c>
    </row>
    <row r="64" spans="3:3" x14ac:dyDescent="0.3">
      <c r="C64">
        <v>64</v>
      </c>
    </row>
    <row r="65" spans="3:3" x14ac:dyDescent="0.3">
      <c r="C65">
        <v>65</v>
      </c>
    </row>
    <row r="66" spans="3:3" x14ac:dyDescent="0.3">
      <c r="C66">
        <v>66</v>
      </c>
    </row>
    <row r="67" spans="3:3" x14ac:dyDescent="0.3">
      <c r="C67">
        <v>67</v>
      </c>
    </row>
    <row r="68" spans="3:3" x14ac:dyDescent="0.3">
      <c r="C68">
        <v>68</v>
      </c>
    </row>
    <row r="69" spans="3:3" x14ac:dyDescent="0.3">
      <c r="C69">
        <v>69</v>
      </c>
    </row>
    <row r="70" spans="3:3" x14ac:dyDescent="0.3">
      <c r="C70">
        <v>70</v>
      </c>
    </row>
    <row r="71" spans="3:3" x14ac:dyDescent="0.3">
      <c r="C71">
        <v>71</v>
      </c>
    </row>
    <row r="72" spans="3:3" x14ac:dyDescent="0.3">
      <c r="C72">
        <v>72</v>
      </c>
    </row>
    <row r="73" spans="3:3" x14ac:dyDescent="0.3">
      <c r="C73">
        <v>73</v>
      </c>
    </row>
    <row r="74" spans="3:3" x14ac:dyDescent="0.3">
      <c r="C74">
        <v>74</v>
      </c>
    </row>
    <row r="75" spans="3:3" x14ac:dyDescent="0.3">
      <c r="C75">
        <v>75</v>
      </c>
    </row>
    <row r="76" spans="3:3" x14ac:dyDescent="0.3">
      <c r="C76">
        <v>76</v>
      </c>
    </row>
    <row r="77" spans="3:3" x14ac:dyDescent="0.3">
      <c r="C77">
        <v>77</v>
      </c>
    </row>
    <row r="78" spans="3:3" x14ac:dyDescent="0.3">
      <c r="C78">
        <v>78</v>
      </c>
    </row>
    <row r="79" spans="3:3" x14ac:dyDescent="0.3">
      <c r="C79">
        <v>79</v>
      </c>
    </row>
    <row r="80" spans="3:3" x14ac:dyDescent="0.3">
      <c r="C80">
        <v>80</v>
      </c>
    </row>
    <row r="81" spans="3:3" x14ac:dyDescent="0.3">
      <c r="C81">
        <v>81</v>
      </c>
    </row>
    <row r="82" spans="3:3" x14ac:dyDescent="0.3">
      <c r="C82">
        <v>82</v>
      </c>
    </row>
    <row r="83" spans="3:3" x14ac:dyDescent="0.3">
      <c r="C83">
        <v>83</v>
      </c>
    </row>
    <row r="84" spans="3:3" x14ac:dyDescent="0.3">
      <c r="C84">
        <v>84</v>
      </c>
    </row>
    <row r="85" spans="3:3" x14ac:dyDescent="0.3">
      <c r="C85">
        <v>85</v>
      </c>
    </row>
    <row r="86" spans="3:3" x14ac:dyDescent="0.3">
      <c r="C86">
        <v>86</v>
      </c>
    </row>
    <row r="87" spans="3:3" x14ac:dyDescent="0.3">
      <c r="C87">
        <v>87</v>
      </c>
    </row>
    <row r="88" spans="3:3" x14ac:dyDescent="0.3">
      <c r="C88">
        <v>88</v>
      </c>
    </row>
    <row r="89" spans="3:3" x14ac:dyDescent="0.3">
      <c r="C89">
        <v>89</v>
      </c>
    </row>
    <row r="90" spans="3:3" x14ac:dyDescent="0.3">
      <c r="C90">
        <v>90</v>
      </c>
    </row>
    <row r="91" spans="3:3" x14ac:dyDescent="0.3">
      <c r="C91">
        <v>91</v>
      </c>
    </row>
    <row r="92" spans="3:3" x14ac:dyDescent="0.3">
      <c r="C92">
        <v>92</v>
      </c>
    </row>
    <row r="93" spans="3:3" x14ac:dyDescent="0.3">
      <c r="C93">
        <v>93</v>
      </c>
    </row>
    <row r="94" spans="3:3" x14ac:dyDescent="0.3">
      <c r="C94">
        <v>94</v>
      </c>
    </row>
    <row r="95" spans="3:3" x14ac:dyDescent="0.3">
      <c r="C95">
        <v>95</v>
      </c>
    </row>
    <row r="96" spans="3:3" x14ac:dyDescent="0.3">
      <c r="C96">
        <v>96</v>
      </c>
    </row>
    <row r="97" spans="3:3" x14ac:dyDescent="0.3">
      <c r="C97">
        <v>97</v>
      </c>
    </row>
    <row r="98" spans="3:3" x14ac:dyDescent="0.3">
      <c r="C98">
        <v>98</v>
      </c>
    </row>
    <row r="99" spans="3:3" x14ac:dyDescent="0.3">
      <c r="C99">
        <v>99</v>
      </c>
    </row>
    <row r="100" spans="3:3" x14ac:dyDescent="0.3">
      <c r="C100">
        <v>100</v>
      </c>
    </row>
    <row r="101" spans="3:3" x14ac:dyDescent="0.3">
      <c r="C101">
        <v>101</v>
      </c>
    </row>
    <row r="102" spans="3:3" x14ac:dyDescent="0.3">
      <c r="C102">
        <v>102</v>
      </c>
    </row>
    <row r="103" spans="3:3" x14ac:dyDescent="0.3">
      <c r="C103">
        <v>103</v>
      </c>
    </row>
    <row r="104" spans="3:3" x14ac:dyDescent="0.3">
      <c r="C104">
        <v>104</v>
      </c>
    </row>
    <row r="105" spans="3:3" x14ac:dyDescent="0.3">
      <c r="C105">
        <v>105</v>
      </c>
    </row>
    <row r="106" spans="3:3" x14ac:dyDescent="0.3">
      <c r="C106">
        <v>106</v>
      </c>
    </row>
    <row r="107" spans="3:3" x14ac:dyDescent="0.3">
      <c r="C107">
        <v>107</v>
      </c>
    </row>
    <row r="108" spans="3:3" x14ac:dyDescent="0.3">
      <c r="C108">
        <v>108</v>
      </c>
    </row>
    <row r="109" spans="3:3" x14ac:dyDescent="0.3">
      <c r="C109">
        <v>109</v>
      </c>
    </row>
    <row r="110" spans="3:3" x14ac:dyDescent="0.3">
      <c r="C110">
        <v>110</v>
      </c>
    </row>
    <row r="111" spans="3:3" x14ac:dyDescent="0.3">
      <c r="C111">
        <v>111</v>
      </c>
    </row>
    <row r="112" spans="3:3" x14ac:dyDescent="0.3">
      <c r="C112">
        <v>112</v>
      </c>
    </row>
    <row r="113" spans="3:3" x14ac:dyDescent="0.3">
      <c r="C113">
        <v>113</v>
      </c>
    </row>
    <row r="114" spans="3:3" x14ac:dyDescent="0.3">
      <c r="C114">
        <v>114</v>
      </c>
    </row>
    <row r="115" spans="3:3" x14ac:dyDescent="0.3">
      <c r="C115">
        <v>115</v>
      </c>
    </row>
    <row r="116" spans="3:3" x14ac:dyDescent="0.3">
      <c r="C116">
        <v>116</v>
      </c>
    </row>
    <row r="117" spans="3:3" x14ac:dyDescent="0.3">
      <c r="C117">
        <v>117</v>
      </c>
    </row>
    <row r="118" spans="3:3" x14ac:dyDescent="0.3">
      <c r="C118">
        <v>118</v>
      </c>
    </row>
    <row r="119" spans="3:3" x14ac:dyDescent="0.3">
      <c r="C119">
        <v>119</v>
      </c>
    </row>
    <row r="120" spans="3:3" x14ac:dyDescent="0.3">
      <c r="C120">
        <v>120</v>
      </c>
    </row>
    <row r="121" spans="3:3" x14ac:dyDescent="0.3">
      <c r="C121">
        <v>121</v>
      </c>
    </row>
    <row r="122" spans="3:3" x14ac:dyDescent="0.3">
      <c r="C122">
        <v>122</v>
      </c>
    </row>
    <row r="123" spans="3:3" x14ac:dyDescent="0.3">
      <c r="C123">
        <v>123</v>
      </c>
    </row>
    <row r="124" spans="3:3" x14ac:dyDescent="0.3">
      <c r="C124">
        <v>124</v>
      </c>
    </row>
    <row r="125" spans="3:3" x14ac:dyDescent="0.3">
      <c r="C125">
        <v>125</v>
      </c>
    </row>
    <row r="126" spans="3:3" x14ac:dyDescent="0.3">
      <c r="C126">
        <v>126</v>
      </c>
    </row>
    <row r="127" spans="3:3" x14ac:dyDescent="0.3">
      <c r="C127">
        <v>127</v>
      </c>
    </row>
    <row r="128" spans="3:3" x14ac:dyDescent="0.3">
      <c r="C128">
        <v>128</v>
      </c>
    </row>
    <row r="129" spans="3:3" x14ac:dyDescent="0.3">
      <c r="C129">
        <v>129</v>
      </c>
    </row>
    <row r="130" spans="3:3" x14ac:dyDescent="0.3">
      <c r="C130">
        <v>130</v>
      </c>
    </row>
    <row r="131" spans="3:3" x14ac:dyDescent="0.3">
      <c r="C131">
        <v>131</v>
      </c>
    </row>
    <row r="132" spans="3:3" x14ac:dyDescent="0.3">
      <c r="C132">
        <v>132</v>
      </c>
    </row>
    <row r="133" spans="3:3" x14ac:dyDescent="0.3">
      <c r="C133">
        <v>133</v>
      </c>
    </row>
    <row r="134" spans="3:3" x14ac:dyDescent="0.3">
      <c r="C134">
        <v>134</v>
      </c>
    </row>
    <row r="135" spans="3:3" x14ac:dyDescent="0.3">
      <c r="C135">
        <v>135</v>
      </c>
    </row>
    <row r="136" spans="3:3" x14ac:dyDescent="0.3">
      <c r="C136">
        <v>136</v>
      </c>
    </row>
    <row r="137" spans="3:3" x14ac:dyDescent="0.3">
      <c r="C137">
        <v>137</v>
      </c>
    </row>
    <row r="138" spans="3:3" x14ac:dyDescent="0.3">
      <c r="C138">
        <v>138</v>
      </c>
    </row>
    <row r="139" spans="3:3" x14ac:dyDescent="0.3">
      <c r="C139">
        <v>139</v>
      </c>
    </row>
    <row r="140" spans="3:3" x14ac:dyDescent="0.3">
      <c r="C140">
        <v>140</v>
      </c>
    </row>
    <row r="141" spans="3:3" x14ac:dyDescent="0.3">
      <c r="C141">
        <v>141</v>
      </c>
    </row>
    <row r="142" spans="3:3" x14ac:dyDescent="0.3">
      <c r="C142">
        <v>142</v>
      </c>
    </row>
    <row r="143" spans="3:3" x14ac:dyDescent="0.3">
      <c r="C143">
        <v>143</v>
      </c>
    </row>
    <row r="144" spans="3:3" x14ac:dyDescent="0.3">
      <c r="C144">
        <v>144</v>
      </c>
    </row>
    <row r="145" spans="3:3" x14ac:dyDescent="0.3">
      <c r="C145">
        <v>145</v>
      </c>
    </row>
    <row r="146" spans="3:3" x14ac:dyDescent="0.3">
      <c r="C146">
        <v>146</v>
      </c>
    </row>
    <row r="147" spans="3:3" x14ac:dyDescent="0.3">
      <c r="C147">
        <v>147</v>
      </c>
    </row>
    <row r="148" spans="3:3" x14ac:dyDescent="0.3">
      <c r="C148">
        <v>148</v>
      </c>
    </row>
    <row r="149" spans="3:3" x14ac:dyDescent="0.3">
      <c r="C149">
        <v>149</v>
      </c>
    </row>
    <row r="150" spans="3:3" x14ac:dyDescent="0.3">
      <c r="C150">
        <v>150</v>
      </c>
    </row>
    <row r="151" spans="3:3" x14ac:dyDescent="0.3">
      <c r="C151">
        <v>151</v>
      </c>
    </row>
    <row r="152" spans="3:3" x14ac:dyDescent="0.3">
      <c r="C152">
        <v>152</v>
      </c>
    </row>
    <row r="153" spans="3:3" x14ac:dyDescent="0.3">
      <c r="C153">
        <v>153</v>
      </c>
    </row>
    <row r="154" spans="3:3" x14ac:dyDescent="0.3">
      <c r="C154">
        <v>154</v>
      </c>
    </row>
    <row r="155" spans="3:3" x14ac:dyDescent="0.3">
      <c r="C155">
        <v>155</v>
      </c>
    </row>
    <row r="156" spans="3:3" x14ac:dyDescent="0.3">
      <c r="C156">
        <v>156</v>
      </c>
    </row>
    <row r="157" spans="3:3" x14ac:dyDescent="0.3">
      <c r="C157">
        <v>157</v>
      </c>
    </row>
    <row r="158" spans="3:3" x14ac:dyDescent="0.3">
      <c r="C158">
        <v>158</v>
      </c>
    </row>
    <row r="159" spans="3:3" x14ac:dyDescent="0.3">
      <c r="C159">
        <v>159</v>
      </c>
    </row>
    <row r="160" spans="3:3" x14ac:dyDescent="0.3">
      <c r="C160">
        <v>160</v>
      </c>
    </row>
    <row r="161" spans="3:3" x14ac:dyDescent="0.3">
      <c r="C161">
        <v>161</v>
      </c>
    </row>
    <row r="162" spans="3:3" x14ac:dyDescent="0.3">
      <c r="C162">
        <v>162</v>
      </c>
    </row>
    <row r="163" spans="3:3" x14ac:dyDescent="0.3">
      <c r="C163">
        <v>163</v>
      </c>
    </row>
    <row r="164" spans="3:3" x14ac:dyDescent="0.3">
      <c r="C164">
        <v>164</v>
      </c>
    </row>
    <row r="165" spans="3:3" x14ac:dyDescent="0.3">
      <c r="C165">
        <v>165</v>
      </c>
    </row>
    <row r="166" spans="3:3" x14ac:dyDescent="0.3">
      <c r="C166">
        <v>166</v>
      </c>
    </row>
    <row r="167" spans="3:3" x14ac:dyDescent="0.3">
      <c r="C167">
        <v>167</v>
      </c>
    </row>
    <row r="168" spans="3:3" x14ac:dyDescent="0.3">
      <c r="C168">
        <v>168</v>
      </c>
    </row>
    <row r="169" spans="3:3" x14ac:dyDescent="0.3">
      <c r="C169">
        <v>169</v>
      </c>
    </row>
    <row r="170" spans="3:3" x14ac:dyDescent="0.3">
      <c r="C170">
        <v>170</v>
      </c>
    </row>
    <row r="171" spans="3:3" x14ac:dyDescent="0.3">
      <c r="C171">
        <v>171</v>
      </c>
    </row>
    <row r="172" spans="3:3" x14ac:dyDescent="0.3">
      <c r="C172">
        <v>172</v>
      </c>
    </row>
    <row r="173" spans="3:3" x14ac:dyDescent="0.3">
      <c r="C173">
        <v>173</v>
      </c>
    </row>
    <row r="174" spans="3:3" x14ac:dyDescent="0.3">
      <c r="C174">
        <v>174</v>
      </c>
    </row>
    <row r="175" spans="3:3" x14ac:dyDescent="0.3">
      <c r="C175">
        <v>175</v>
      </c>
    </row>
    <row r="176" spans="3:3" x14ac:dyDescent="0.3">
      <c r="C176">
        <v>176</v>
      </c>
    </row>
    <row r="177" spans="3:3" x14ac:dyDescent="0.3">
      <c r="C177">
        <v>177</v>
      </c>
    </row>
    <row r="178" spans="3:3" x14ac:dyDescent="0.3">
      <c r="C178">
        <v>178</v>
      </c>
    </row>
    <row r="179" spans="3:3" x14ac:dyDescent="0.3">
      <c r="C179">
        <v>179</v>
      </c>
    </row>
    <row r="180" spans="3:3" x14ac:dyDescent="0.3">
      <c r="C180">
        <v>180</v>
      </c>
    </row>
    <row r="181" spans="3:3" x14ac:dyDescent="0.3">
      <c r="C181">
        <v>181</v>
      </c>
    </row>
    <row r="182" spans="3:3" x14ac:dyDescent="0.3">
      <c r="C182">
        <v>182</v>
      </c>
    </row>
    <row r="183" spans="3:3" x14ac:dyDescent="0.3">
      <c r="C183">
        <v>183</v>
      </c>
    </row>
    <row r="184" spans="3:3" x14ac:dyDescent="0.3">
      <c r="C184">
        <v>184</v>
      </c>
    </row>
    <row r="185" spans="3:3" x14ac:dyDescent="0.3">
      <c r="C185">
        <v>185</v>
      </c>
    </row>
    <row r="186" spans="3:3" x14ac:dyDescent="0.3">
      <c r="C186">
        <v>186</v>
      </c>
    </row>
    <row r="187" spans="3:3" x14ac:dyDescent="0.3">
      <c r="C187">
        <v>187</v>
      </c>
    </row>
    <row r="188" spans="3:3" x14ac:dyDescent="0.3">
      <c r="C188">
        <v>188</v>
      </c>
    </row>
    <row r="189" spans="3:3" x14ac:dyDescent="0.3">
      <c r="C189">
        <v>189</v>
      </c>
    </row>
    <row r="190" spans="3:3" x14ac:dyDescent="0.3">
      <c r="C190">
        <v>190</v>
      </c>
    </row>
    <row r="191" spans="3:3" x14ac:dyDescent="0.3">
      <c r="C191">
        <v>191</v>
      </c>
    </row>
    <row r="192" spans="3:3" x14ac:dyDescent="0.3">
      <c r="C192">
        <v>192</v>
      </c>
    </row>
    <row r="193" spans="3:3" x14ac:dyDescent="0.3">
      <c r="C193">
        <v>193</v>
      </c>
    </row>
    <row r="194" spans="3:3" x14ac:dyDescent="0.3">
      <c r="C194">
        <v>194</v>
      </c>
    </row>
    <row r="195" spans="3:3" x14ac:dyDescent="0.3">
      <c r="C195">
        <v>195</v>
      </c>
    </row>
    <row r="196" spans="3:3" x14ac:dyDescent="0.3">
      <c r="C196">
        <v>196</v>
      </c>
    </row>
    <row r="197" spans="3:3" x14ac:dyDescent="0.3">
      <c r="C197">
        <v>197</v>
      </c>
    </row>
    <row r="198" spans="3:3" x14ac:dyDescent="0.3">
      <c r="C198">
        <v>198</v>
      </c>
    </row>
    <row r="199" spans="3:3" x14ac:dyDescent="0.3">
      <c r="C199">
        <v>199</v>
      </c>
    </row>
    <row r="200" spans="3:3" x14ac:dyDescent="0.3">
      <c r="C200">
        <v>200</v>
      </c>
    </row>
    <row r="201" spans="3:3" x14ac:dyDescent="0.3">
      <c r="C201">
        <v>201</v>
      </c>
    </row>
    <row r="202" spans="3:3" x14ac:dyDescent="0.3">
      <c r="C202">
        <v>202</v>
      </c>
    </row>
    <row r="203" spans="3:3" x14ac:dyDescent="0.3">
      <c r="C203">
        <v>203</v>
      </c>
    </row>
    <row r="204" spans="3:3" x14ac:dyDescent="0.3">
      <c r="C204">
        <v>204</v>
      </c>
    </row>
    <row r="205" spans="3:3" x14ac:dyDescent="0.3">
      <c r="C205">
        <v>205</v>
      </c>
    </row>
    <row r="206" spans="3:3" x14ac:dyDescent="0.3">
      <c r="C206">
        <v>206</v>
      </c>
    </row>
    <row r="207" spans="3:3" x14ac:dyDescent="0.3">
      <c r="C207">
        <v>207</v>
      </c>
    </row>
    <row r="208" spans="3:3" x14ac:dyDescent="0.3">
      <c r="C208">
        <v>208</v>
      </c>
    </row>
    <row r="209" spans="3:3" x14ac:dyDescent="0.3">
      <c r="C209">
        <v>209</v>
      </c>
    </row>
    <row r="210" spans="3:3" x14ac:dyDescent="0.3">
      <c r="C210">
        <v>210</v>
      </c>
    </row>
    <row r="211" spans="3:3" x14ac:dyDescent="0.3">
      <c r="C211">
        <v>211</v>
      </c>
    </row>
    <row r="212" spans="3:3" x14ac:dyDescent="0.3">
      <c r="C212">
        <v>212</v>
      </c>
    </row>
    <row r="213" spans="3:3" x14ac:dyDescent="0.3">
      <c r="C213">
        <v>213</v>
      </c>
    </row>
    <row r="214" spans="3:3" x14ac:dyDescent="0.3">
      <c r="C214">
        <v>214</v>
      </c>
    </row>
    <row r="215" spans="3:3" x14ac:dyDescent="0.3">
      <c r="C215">
        <v>215</v>
      </c>
    </row>
    <row r="216" spans="3:3" x14ac:dyDescent="0.3">
      <c r="C216">
        <v>216</v>
      </c>
    </row>
    <row r="217" spans="3:3" x14ac:dyDescent="0.3">
      <c r="C217">
        <v>217</v>
      </c>
    </row>
    <row r="218" spans="3:3" x14ac:dyDescent="0.3">
      <c r="C218">
        <v>218</v>
      </c>
    </row>
    <row r="219" spans="3:3" x14ac:dyDescent="0.3">
      <c r="C219">
        <v>219</v>
      </c>
    </row>
    <row r="220" spans="3:3" x14ac:dyDescent="0.3">
      <c r="C220">
        <v>220</v>
      </c>
    </row>
    <row r="221" spans="3:3" x14ac:dyDescent="0.3">
      <c r="C221">
        <v>221</v>
      </c>
    </row>
    <row r="222" spans="3:3" x14ac:dyDescent="0.3">
      <c r="C222">
        <v>222</v>
      </c>
    </row>
    <row r="223" spans="3:3" x14ac:dyDescent="0.3">
      <c r="C223">
        <v>223</v>
      </c>
    </row>
    <row r="224" spans="3:3" x14ac:dyDescent="0.3">
      <c r="C224">
        <v>224</v>
      </c>
    </row>
    <row r="225" spans="3:3" x14ac:dyDescent="0.3">
      <c r="C225">
        <v>225</v>
      </c>
    </row>
    <row r="226" spans="3:3" x14ac:dyDescent="0.3">
      <c r="C226">
        <v>226</v>
      </c>
    </row>
    <row r="227" spans="3:3" x14ac:dyDescent="0.3">
      <c r="C227">
        <v>227</v>
      </c>
    </row>
    <row r="228" spans="3:3" x14ac:dyDescent="0.3">
      <c r="C228">
        <v>228</v>
      </c>
    </row>
    <row r="229" spans="3:3" x14ac:dyDescent="0.3">
      <c r="C229">
        <v>229</v>
      </c>
    </row>
    <row r="230" spans="3:3" x14ac:dyDescent="0.3">
      <c r="C230">
        <v>230</v>
      </c>
    </row>
    <row r="231" spans="3:3" x14ac:dyDescent="0.3">
      <c r="C231">
        <v>231</v>
      </c>
    </row>
    <row r="232" spans="3:3" x14ac:dyDescent="0.3">
      <c r="C232">
        <v>232</v>
      </c>
    </row>
    <row r="233" spans="3:3" x14ac:dyDescent="0.3">
      <c r="C233">
        <v>233</v>
      </c>
    </row>
    <row r="234" spans="3:3" x14ac:dyDescent="0.3">
      <c r="C234">
        <v>234</v>
      </c>
    </row>
    <row r="235" spans="3:3" x14ac:dyDescent="0.3">
      <c r="C235">
        <v>235</v>
      </c>
    </row>
    <row r="236" spans="3:3" x14ac:dyDescent="0.3">
      <c r="C236">
        <v>236</v>
      </c>
    </row>
    <row r="237" spans="3:3" x14ac:dyDescent="0.3">
      <c r="C237">
        <v>237</v>
      </c>
    </row>
    <row r="238" spans="3:3" x14ac:dyDescent="0.3">
      <c r="C238">
        <v>238</v>
      </c>
    </row>
    <row r="239" spans="3:3" x14ac:dyDescent="0.3">
      <c r="C239">
        <v>239</v>
      </c>
    </row>
    <row r="240" spans="3:3" x14ac:dyDescent="0.3">
      <c r="C240">
        <v>240</v>
      </c>
    </row>
    <row r="241" spans="3:3" x14ac:dyDescent="0.3">
      <c r="C241">
        <v>241</v>
      </c>
    </row>
    <row r="242" spans="3:3" x14ac:dyDescent="0.3">
      <c r="C242">
        <v>242</v>
      </c>
    </row>
    <row r="243" spans="3:3" x14ac:dyDescent="0.3">
      <c r="C243">
        <v>243</v>
      </c>
    </row>
    <row r="244" spans="3:3" x14ac:dyDescent="0.3">
      <c r="C244">
        <v>244</v>
      </c>
    </row>
    <row r="245" spans="3:3" x14ac:dyDescent="0.3">
      <c r="C245">
        <v>245</v>
      </c>
    </row>
    <row r="246" spans="3:3" x14ac:dyDescent="0.3">
      <c r="C246">
        <v>246</v>
      </c>
    </row>
    <row r="247" spans="3:3" x14ac:dyDescent="0.3">
      <c r="C247">
        <v>247</v>
      </c>
    </row>
    <row r="248" spans="3:3" x14ac:dyDescent="0.3">
      <c r="C248">
        <v>248</v>
      </c>
    </row>
    <row r="249" spans="3:3" x14ac:dyDescent="0.3">
      <c r="C249">
        <v>249</v>
      </c>
    </row>
    <row r="250" spans="3:3" x14ac:dyDescent="0.3">
      <c r="C250">
        <v>250</v>
      </c>
    </row>
    <row r="251" spans="3:3" x14ac:dyDescent="0.3">
      <c r="C251">
        <v>251</v>
      </c>
    </row>
    <row r="252" spans="3:3" x14ac:dyDescent="0.3">
      <c r="C252">
        <v>252</v>
      </c>
    </row>
    <row r="253" spans="3:3" x14ac:dyDescent="0.3">
      <c r="C253">
        <v>253</v>
      </c>
    </row>
    <row r="254" spans="3:3" x14ac:dyDescent="0.3">
      <c r="C254">
        <v>254</v>
      </c>
    </row>
    <row r="255" spans="3:3" x14ac:dyDescent="0.3">
      <c r="C255">
        <v>255</v>
      </c>
    </row>
    <row r="256" spans="3:3" x14ac:dyDescent="0.3">
      <c r="C256">
        <v>256</v>
      </c>
    </row>
    <row r="257" spans="3:3" x14ac:dyDescent="0.3">
      <c r="C257">
        <v>257</v>
      </c>
    </row>
    <row r="258" spans="3:3" x14ac:dyDescent="0.3">
      <c r="C258">
        <v>258</v>
      </c>
    </row>
    <row r="259" spans="3:3" x14ac:dyDescent="0.3">
      <c r="C259">
        <v>259</v>
      </c>
    </row>
    <row r="260" spans="3:3" x14ac:dyDescent="0.3">
      <c r="C260">
        <v>260</v>
      </c>
    </row>
    <row r="261" spans="3:3" x14ac:dyDescent="0.3">
      <c r="C261">
        <v>261</v>
      </c>
    </row>
    <row r="262" spans="3:3" x14ac:dyDescent="0.3">
      <c r="C262">
        <v>262</v>
      </c>
    </row>
    <row r="263" spans="3:3" x14ac:dyDescent="0.3">
      <c r="C263">
        <v>263</v>
      </c>
    </row>
    <row r="264" spans="3:3" x14ac:dyDescent="0.3">
      <c r="C264">
        <v>264</v>
      </c>
    </row>
    <row r="265" spans="3:3" x14ac:dyDescent="0.3">
      <c r="C265">
        <v>265</v>
      </c>
    </row>
    <row r="266" spans="3:3" x14ac:dyDescent="0.3">
      <c r="C266">
        <v>266</v>
      </c>
    </row>
    <row r="267" spans="3:3" x14ac:dyDescent="0.3">
      <c r="C267">
        <v>267</v>
      </c>
    </row>
    <row r="268" spans="3:3" x14ac:dyDescent="0.3">
      <c r="C268">
        <v>268</v>
      </c>
    </row>
    <row r="269" spans="3:3" x14ac:dyDescent="0.3">
      <c r="C269">
        <v>269</v>
      </c>
    </row>
    <row r="270" spans="3:3" x14ac:dyDescent="0.3">
      <c r="C270">
        <v>270</v>
      </c>
    </row>
    <row r="271" spans="3:3" x14ac:dyDescent="0.3">
      <c r="C271">
        <v>271</v>
      </c>
    </row>
    <row r="272" spans="3:3" x14ac:dyDescent="0.3">
      <c r="C272">
        <v>272</v>
      </c>
    </row>
    <row r="273" spans="3:3" x14ac:dyDescent="0.3">
      <c r="C273">
        <v>273</v>
      </c>
    </row>
    <row r="274" spans="3:3" x14ac:dyDescent="0.3">
      <c r="C274">
        <v>274</v>
      </c>
    </row>
    <row r="275" spans="3:3" x14ac:dyDescent="0.3">
      <c r="C275">
        <v>275</v>
      </c>
    </row>
    <row r="276" spans="3:3" x14ac:dyDescent="0.3">
      <c r="C276">
        <v>276</v>
      </c>
    </row>
    <row r="277" spans="3:3" x14ac:dyDescent="0.3">
      <c r="C277">
        <v>277</v>
      </c>
    </row>
    <row r="278" spans="3:3" x14ac:dyDescent="0.3">
      <c r="C278">
        <v>278</v>
      </c>
    </row>
    <row r="279" spans="3:3" x14ac:dyDescent="0.3">
      <c r="C279">
        <v>279</v>
      </c>
    </row>
    <row r="280" spans="3:3" x14ac:dyDescent="0.3">
      <c r="C280">
        <v>280</v>
      </c>
    </row>
    <row r="281" spans="3:3" x14ac:dyDescent="0.3">
      <c r="C281">
        <v>281</v>
      </c>
    </row>
    <row r="282" spans="3:3" x14ac:dyDescent="0.3">
      <c r="C282">
        <v>282</v>
      </c>
    </row>
    <row r="283" spans="3:3" x14ac:dyDescent="0.3">
      <c r="C283">
        <v>283</v>
      </c>
    </row>
    <row r="284" spans="3:3" x14ac:dyDescent="0.3">
      <c r="C284">
        <v>284</v>
      </c>
    </row>
    <row r="285" spans="3:3" x14ac:dyDescent="0.3">
      <c r="C285">
        <v>285</v>
      </c>
    </row>
    <row r="286" spans="3:3" x14ac:dyDescent="0.3">
      <c r="C286">
        <v>286</v>
      </c>
    </row>
    <row r="287" spans="3:3" x14ac:dyDescent="0.3">
      <c r="C287">
        <v>287</v>
      </c>
    </row>
    <row r="288" spans="3:3" x14ac:dyDescent="0.3">
      <c r="C288">
        <v>288</v>
      </c>
    </row>
    <row r="289" spans="3:3" x14ac:dyDescent="0.3">
      <c r="C289">
        <v>289</v>
      </c>
    </row>
    <row r="290" spans="3:3" x14ac:dyDescent="0.3">
      <c r="C290">
        <v>290</v>
      </c>
    </row>
    <row r="291" spans="3:3" x14ac:dyDescent="0.3">
      <c r="C291">
        <v>291</v>
      </c>
    </row>
    <row r="292" spans="3:3" x14ac:dyDescent="0.3">
      <c r="C292">
        <v>292</v>
      </c>
    </row>
    <row r="293" spans="3:3" x14ac:dyDescent="0.3">
      <c r="C293">
        <v>293</v>
      </c>
    </row>
    <row r="294" spans="3:3" x14ac:dyDescent="0.3">
      <c r="C294">
        <v>294</v>
      </c>
    </row>
    <row r="295" spans="3:3" x14ac:dyDescent="0.3">
      <c r="C295">
        <v>295</v>
      </c>
    </row>
    <row r="296" spans="3:3" x14ac:dyDescent="0.3">
      <c r="C296">
        <v>296</v>
      </c>
    </row>
    <row r="297" spans="3:3" x14ac:dyDescent="0.3">
      <c r="C297">
        <v>297</v>
      </c>
    </row>
    <row r="298" spans="3:3" x14ac:dyDescent="0.3">
      <c r="C298">
        <v>298</v>
      </c>
    </row>
    <row r="299" spans="3:3" x14ac:dyDescent="0.3">
      <c r="C299">
        <v>299</v>
      </c>
    </row>
    <row r="300" spans="3:3" x14ac:dyDescent="0.3">
      <c r="C300">
        <v>300</v>
      </c>
    </row>
    <row r="301" spans="3:3" x14ac:dyDescent="0.3">
      <c r="C301">
        <v>301</v>
      </c>
    </row>
    <row r="302" spans="3:3" x14ac:dyDescent="0.3">
      <c r="C302">
        <v>302</v>
      </c>
    </row>
    <row r="303" spans="3:3" x14ac:dyDescent="0.3">
      <c r="C303">
        <v>303</v>
      </c>
    </row>
    <row r="304" spans="3:3" x14ac:dyDescent="0.3">
      <c r="C304">
        <v>304</v>
      </c>
    </row>
    <row r="305" spans="3:3" x14ac:dyDescent="0.3">
      <c r="C305">
        <v>305</v>
      </c>
    </row>
    <row r="306" spans="3:3" x14ac:dyDescent="0.3">
      <c r="C306">
        <v>306</v>
      </c>
    </row>
    <row r="307" spans="3:3" x14ac:dyDescent="0.3">
      <c r="C307">
        <v>307</v>
      </c>
    </row>
    <row r="308" spans="3:3" x14ac:dyDescent="0.3">
      <c r="C308">
        <v>308</v>
      </c>
    </row>
    <row r="309" spans="3:3" x14ac:dyDescent="0.3">
      <c r="C309">
        <v>309</v>
      </c>
    </row>
    <row r="310" spans="3:3" x14ac:dyDescent="0.3">
      <c r="C310">
        <v>310</v>
      </c>
    </row>
    <row r="311" spans="3:3" x14ac:dyDescent="0.3">
      <c r="C311">
        <v>311</v>
      </c>
    </row>
    <row r="312" spans="3:3" x14ac:dyDescent="0.3">
      <c r="C312">
        <v>312</v>
      </c>
    </row>
    <row r="313" spans="3:3" x14ac:dyDescent="0.3">
      <c r="C313">
        <v>313</v>
      </c>
    </row>
    <row r="314" spans="3:3" x14ac:dyDescent="0.3">
      <c r="C314">
        <v>314</v>
      </c>
    </row>
    <row r="315" spans="3:3" x14ac:dyDescent="0.3">
      <c r="C315">
        <v>315</v>
      </c>
    </row>
    <row r="316" spans="3:3" x14ac:dyDescent="0.3">
      <c r="C316">
        <v>316</v>
      </c>
    </row>
    <row r="317" spans="3:3" x14ac:dyDescent="0.3">
      <c r="C317">
        <v>317</v>
      </c>
    </row>
    <row r="318" spans="3:3" x14ac:dyDescent="0.3">
      <c r="C318">
        <v>318</v>
      </c>
    </row>
    <row r="319" spans="3:3" x14ac:dyDescent="0.3">
      <c r="C319">
        <v>319</v>
      </c>
    </row>
    <row r="320" spans="3:3" x14ac:dyDescent="0.3">
      <c r="C320">
        <v>320</v>
      </c>
    </row>
    <row r="321" spans="3:3" x14ac:dyDescent="0.3">
      <c r="C321">
        <v>321</v>
      </c>
    </row>
    <row r="322" spans="3:3" x14ac:dyDescent="0.3">
      <c r="C322">
        <v>322</v>
      </c>
    </row>
    <row r="323" spans="3:3" x14ac:dyDescent="0.3">
      <c r="C323">
        <v>323</v>
      </c>
    </row>
    <row r="324" spans="3:3" x14ac:dyDescent="0.3">
      <c r="C324">
        <v>324</v>
      </c>
    </row>
    <row r="325" spans="3:3" x14ac:dyDescent="0.3">
      <c r="C325">
        <v>325</v>
      </c>
    </row>
    <row r="326" spans="3:3" x14ac:dyDescent="0.3">
      <c r="C326">
        <v>326</v>
      </c>
    </row>
    <row r="327" spans="3:3" x14ac:dyDescent="0.3">
      <c r="C327">
        <v>327</v>
      </c>
    </row>
    <row r="328" spans="3:3" x14ac:dyDescent="0.3">
      <c r="C328">
        <v>328</v>
      </c>
    </row>
    <row r="329" spans="3:3" x14ac:dyDescent="0.3">
      <c r="C329">
        <v>329</v>
      </c>
    </row>
    <row r="330" spans="3:3" x14ac:dyDescent="0.3">
      <c r="C330">
        <v>330</v>
      </c>
    </row>
    <row r="331" spans="3:3" x14ac:dyDescent="0.3">
      <c r="C331">
        <v>331</v>
      </c>
    </row>
    <row r="332" spans="3:3" x14ac:dyDescent="0.3">
      <c r="C332">
        <v>332</v>
      </c>
    </row>
    <row r="333" spans="3:3" x14ac:dyDescent="0.3">
      <c r="C333">
        <v>333</v>
      </c>
    </row>
    <row r="334" spans="3:3" x14ac:dyDescent="0.3">
      <c r="C334">
        <v>334</v>
      </c>
    </row>
    <row r="335" spans="3:3" x14ac:dyDescent="0.3">
      <c r="C335">
        <v>335</v>
      </c>
    </row>
    <row r="336" spans="3:3" x14ac:dyDescent="0.3">
      <c r="C336">
        <v>336</v>
      </c>
    </row>
    <row r="337" spans="3:3" x14ac:dyDescent="0.3">
      <c r="C337">
        <v>337</v>
      </c>
    </row>
    <row r="338" spans="3:3" x14ac:dyDescent="0.3">
      <c r="C338">
        <v>338</v>
      </c>
    </row>
    <row r="339" spans="3:3" x14ac:dyDescent="0.3">
      <c r="C339">
        <v>339</v>
      </c>
    </row>
    <row r="340" spans="3:3" x14ac:dyDescent="0.3">
      <c r="C340">
        <v>340</v>
      </c>
    </row>
    <row r="341" spans="3:3" x14ac:dyDescent="0.3">
      <c r="C341">
        <v>341</v>
      </c>
    </row>
    <row r="342" spans="3:3" x14ac:dyDescent="0.3">
      <c r="C342">
        <v>342</v>
      </c>
    </row>
    <row r="343" spans="3:3" x14ac:dyDescent="0.3">
      <c r="C343">
        <v>343</v>
      </c>
    </row>
    <row r="344" spans="3:3" x14ac:dyDescent="0.3">
      <c r="C344">
        <v>344</v>
      </c>
    </row>
    <row r="345" spans="3:3" x14ac:dyDescent="0.3">
      <c r="C345">
        <v>345</v>
      </c>
    </row>
    <row r="346" spans="3:3" x14ac:dyDescent="0.3">
      <c r="C346">
        <v>346</v>
      </c>
    </row>
    <row r="347" spans="3:3" x14ac:dyDescent="0.3">
      <c r="C347">
        <v>347</v>
      </c>
    </row>
    <row r="348" spans="3:3" x14ac:dyDescent="0.3">
      <c r="C348">
        <v>348</v>
      </c>
    </row>
    <row r="349" spans="3:3" x14ac:dyDescent="0.3">
      <c r="C349">
        <v>349</v>
      </c>
    </row>
    <row r="350" spans="3:3" x14ac:dyDescent="0.3">
      <c r="C350">
        <v>350</v>
      </c>
    </row>
    <row r="351" spans="3:3" x14ac:dyDescent="0.3">
      <c r="C351">
        <v>351</v>
      </c>
    </row>
    <row r="352" spans="3:3" x14ac:dyDescent="0.3">
      <c r="C352">
        <v>352</v>
      </c>
    </row>
    <row r="353" spans="3:3" x14ac:dyDescent="0.3">
      <c r="C353">
        <v>353</v>
      </c>
    </row>
    <row r="354" spans="3:3" x14ac:dyDescent="0.3">
      <c r="C354">
        <v>354</v>
      </c>
    </row>
    <row r="355" spans="3:3" x14ac:dyDescent="0.3">
      <c r="C355">
        <v>355</v>
      </c>
    </row>
    <row r="356" spans="3:3" x14ac:dyDescent="0.3">
      <c r="C356">
        <v>356</v>
      </c>
    </row>
    <row r="357" spans="3:3" x14ac:dyDescent="0.3">
      <c r="C357">
        <v>357</v>
      </c>
    </row>
    <row r="358" spans="3:3" x14ac:dyDescent="0.3">
      <c r="C358">
        <v>358</v>
      </c>
    </row>
    <row r="359" spans="3:3" x14ac:dyDescent="0.3">
      <c r="C359">
        <v>359</v>
      </c>
    </row>
    <row r="360" spans="3:3" x14ac:dyDescent="0.3">
      <c r="C360">
        <v>360</v>
      </c>
    </row>
    <row r="361" spans="3:3" x14ac:dyDescent="0.3">
      <c r="C361">
        <v>361</v>
      </c>
    </row>
    <row r="362" spans="3:3" x14ac:dyDescent="0.3">
      <c r="C362">
        <v>362</v>
      </c>
    </row>
    <row r="363" spans="3:3" x14ac:dyDescent="0.3">
      <c r="C363">
        <v>363</v>
      </c>
    </row>
    <row r="364" spans="3:3" x14ac:dyDescent="0.3">
      <c r="C364">
        <v>364</v>
      </c>
    </row>
    <row r="365" spans="3:3" x14ac:dyDescent="0.3">
      <c r="C365">
        <v>365</v>
      </c>
    </row>
    <row r="366" spans="3:3" x14ac:dyDescent="0.3">
      <c r="C366">
        <v>366</v>
      </c>
    </row>
    <row r="367" spans="3:3" x14ac:dyDescent="0.3">
      <c r="C367">
        <v>367</v>
      </c>
    </row>
    <row r="368" spans="3:3" x14ac:dyDescent="0.3">
      <c r="C368">
        <v>368</v>
      </c>
    </row>
    <row r="369" spans="3:3" x14ac:dyDescent="0.3">
      <c r="C369">
        <v>369</v>
      </c>
    </row>
    <row r="370" spans="3:3" x14ac:dyDescent="0.3">
      <c r="C370">
        <v>370</v>
      </c>
    </row>
    <row r="371" spans="3:3" x14ac:dyDescent="0.3">
      <c r="C371">
        <v>371</v>
      </c>
    </row>
    <row r="372" spans="3:3" x14ac:dyDescent="0.3">
      <c r="C372">
        <v>372</v>
      </c>
    </row>
    <row r="373" spans="3:3" x14ac:dyDescent="0.3">
      <c r="C373">
        <v>373</v>
      </c>
    </row>
    <row r="374" spans="3:3" x14ac:dyDescent="0.3">
      <c r="C374">
        <v>374</v>
      </c>
    </row>
    <row r="375" spans="3:3" x14ac:dyDescent="0.3">
      <c r="C375">
        <v>375</v>
      </c>
    </row>
    <row r="376" spans="3:3" x14ac:dyDescent="0.3">
      <c r="C376">
        <v>376</v>
      </c>
    </row>
    <row r="377" spans="3:3" x14ac:dyDescent="0.3">
      <c r="C377">
        <v>377</v>
      </c>
    </row>
    <row r="378" spans="3:3" x14ac:dyDescent="0.3">
      <c r="C378">
        <v>378</v>
      </c>
    </row>
    <row r="379" spans="3:3" x14ac:dyDescent="0.3">
      <c r="C379">
        <v>379</v>
      </c>
    </row>
    <row r="380" spans="3:3" x14ac:dyDescent="0.3">
      <c r="C380">
        <v>380</v>
      </c>
    </row>
    <row r="381" spans="3:3" x14ac:dyDescent="0.3">
      <c r="C381">
        <v>381</v>
      </c>
    </row>
    <row r="382" spans="3:3" x14ac:dyDescent="0.3">
      <c r="C382">
        <v>382</v>
      </c>
    </row>
    <row r="383" spans="3:3" x14ac:dyDescent="0.3">
      <c r="C383">
        <v>383</v>
      </c>
    </row>
    <row r="384" spans="3:3" x14ac:dyDescent="0.3">
      <c r="C384">
        <v>384</v>
      </c>
    </row>
    <row r="385" spans="3:3" x14ac:dyDescent="0.3">
      <c r="C385">
        <v>385</v>
      </c>
    </row>
    <row r="386" spans="3:3" x14ac:dyDescent="0.3">
      <c r="C386">
        <v>386</v>
      </c>
    </row>
    <row r="387" spans="3:3" x14ac:dyDescent="0.3">
      <c r="C387">
        <v>387</v>
      </c>
    </row>
    <row r="388" spans="3:3" x14ac:dyDescent="0.3">
      <c r="C388">
        <v>388</v>
      </c>
    </row>
    <row r="389" spans="3:3" x14ac:dyDescent="0.3">
      <c r="C389">
        <v>389</v>
      </c>
    </row>
    <row r="390" spans="3:3" x14ac:dyDescent="0.3">
      <c r="C390">
        <v>390</v>
      </c>
    </row>
    <row r="391" spans="3:3" x14ac:dyDescent="0.3">
      <c r="C391">
        <v>391</v>
      </c>
    </row>
    <row r="392" spans="3:3" x14ac:dyDescent="0.3">
      <c r="C392">
        <v>392</v>
      </c>
    </row>
    <row r="393" spans="3:3" x14ac:dyDescent="0.3">
      <c r="C393">
        <v>393</v>
      </c>
    </row>
    <row r="394" spans="3:3" x14ac:dyDescent="0.3">
      <c r="C394">
        <v>394</v>
      </c>
    </row>
    <row r="395" spans="3:3" x14ac:dyDescent="0.3">
      <c r="C395">
        <v>395</v>
      </c>
    </row>
    <row r="396" spans="3:3" x14ac:dyDescent="0.3">
      <c r="C396">
        <v>396</v>
      </c>
    </row>
    <row r="397" spans="3:3" x14ac:dyDescent="0.3">
      <c r="C397">
        <v>397</v>
      </c>
    </row>
    <row r="398" spans="3:3" x14ac:dyDescent="0.3">
      <c r="C398">
        <v>398</v>
      </c>
    </row>
    <row r="399" spans="3:3" x14ac:dyDescent="0.3">
      <c r="C399">
        <v>399</v>
      </c>
    </row>
    <row r="400" spans="3:3" x14ac:dyDescent="0.3">
      <c r="C400">
        <v>400</v>
      </c>
    </row>
    <row r="401" spans="3:3" x14ac:dyDescent="0.3">
      <c r="C401">
        <v>401</v>
      </c>
    </row>
    <row r="402" spans="3:3" x14ac:dyDescent="0.3">
      <c r="C402">
        <v>402</v>
      </c>
    </row>
    <row r="403" spans="3:3" x14ac:dyDescent="0.3">
      <c r="C403">
        <v>403</v>
      </c>
    </row>
    <row r="404" spans="3:3" x14ac:dyDescent="0.3">
      <c r="C404">
        <v>404</v>
      </c>
    </row>
    <row r="405" spans="3:3" x14ac:dyDescent="0.3">
      <c r="C405">
        <v>405</v>
      </c>
    </row>
    <row r="406" spans="3:3" x14ac:dyDescent="0.3">
      <c r="C406">
        <v>406</v>
      </c>
    </row>
    <row r="407" spans="3:3" x14ac:dyDescent="0.3">
      <c r="C407">
        <v>407</v>
      </c>
    </row>
    <row r="408" spans="3:3" x14ac:dyDescent="0.3">
      <c r="C408">
        <v>408</v>
      </c>
    </row>
    <row r="409" spans="3:3" x14ac:dyDescent="0.3">
      <c r="C409">
        <v>409</v>
      </c>
    </row>
    <row r="410" spans="3:3" x14ac:dyDescent="0.3">
      <c r="C410">
        <v>410</v>
      </c>
    </row>
    <row r="411" spans="3:3" x14ac:dyDescent="0.3">
      <c r="C411">
        <v>411</v>
      </c>
    </row>
    <row r="412" spans="3:3" x14ac:dyDescent="0.3">
      <c r="C412">
        <v>412</v>
      </c>
    </row>
    <row r="413" spans="3:3" x14ac:dyDescent="0.3">
      <c r="C413">
        <v>413</v>
      </c>
    </row>
    <row r="414" spans="3:3" x14ac:dyDescent="0.3">
      <c r="C414">
        <v>414</v>
      </c>
    </row>
    <row r="415" spans="3:3" x14ac:dyDescent="0.3">
      <c r="C415">
        <v>415</v>
      </c>
    </row>
    <row r="416" spans="3:3" x14ac:dyDescent="0.3">
      <c r="C416">
        <v>416</v>
      </c>
    </row>
    <row r="417" spans="3:3" x14ac:dyDescent="0.3">
      <c r="C417">
        <v>417</v>
      </c>
    </row>
    <row r="418" spans="3:3" x14ac:dyDescent="0.3">
      <c r="C418">
        <v>418</v>
      </c>
    </row>
    <row r="419" spans="3:3" x14ac:dyDescent="0.3">
      <c r="C419">
        <v>419</v>
      </c>
    </row>
    <row r="420" spans="3:3" x14ac:dyDescent="0.3">
      <c r="C420">
        <v>420</v>
      </c>
    </row>
    <row r="421" spans="3:3" x14ac:dyDescent="0.3">
      <c r="C421">
        <v>421</v>
      </c>
    </row>
    <row r="422" spans="3:3" x14ac:dyDescent="0.3">
      <c r="C422">
        <v>422</v>
      </c>
    </row>
    <row r="423" spans="3:3" x14ac:dyDescent="0.3">
      <c r="C423">
        <v>423</v>
      </c>
    </row>
    <row r="424" spans="3:3" x14ac:dyDescent="0.3">
      <c r="C424">
        <v>424</v>
      </c>
    </row>
    <row r="425" spans="3:3" x14ac:dyDescent="0.3">
      <c r="C425">
        <v>425</v>
      </c>
    </row>
    <row r="426" spans="3:3" x14ac:dyDescent="0.3">
      <c r="C426">
        <v>426</v>
      </c>
    </row>
    <row r="427" spans="3:3" x14ac:dyDescent="0.3">
      <c r="C427">
        <v>427</v>
      </c>
    </row>
    <row r="428" spans="3:3" x14ac:dyDescent="0.3">
      <c r="C428">
        <v>428</v>
      </c>
    </row>
    <row r="429" spans="3:3" x14ac:dyDescent="0.3">
      <c r="C429">
        <v>429</v>
      </c>
    </row>
    <row r="430" spans="3:3" x14ac:dyDescent="0.3">
      <c r="C430">
        <v>430</v>
      </c>
    </row>
    <row r="431" spans="3:3" x14ac:dyDescent="0.3">
      <c r="C431">
        <v>431</v>
      </c>
    </row>
    <row r="432" spans="3:3" x14ac:dyDescent="0.3">
      <c r="C432">
        <v>432</v>
      </c>
    </row>
    <row r="433" spans="3:3" x14ac:dyDescent="0.3">
      <c r="C433">
        <v>433</v>
      </c>
    </row>
    <row r="434" spans="3:3" x14ac:dyDescent="0.3">
      <c r="C434">
        <v>434</v>
      </c>
    </row>
    <row r="435" spans="3:3" x14ac:dyDescent="0.3">
      <c r="C435">
        <v>435</v>
      </c>
    </row>
    <row r="436" spans="3:3" x14ac:dyDescent="0.3">
      <c r="C436">
        <v>436</v>
      </c>
    </row>
    <row r="437" spans="3:3" x14ac:dyDescent="0.3">
      <c r="C437">
        <v>437</v>
      </c>
    </row>
    <row r="438" spans="3:3" x14ac:dyDescent="0.3">
      <c r="C438">
        <v>438</v>
      </c>
    </row>
    <row r="439" spans="3:3" x14ac:dyDescent="0.3">
      <c r="C439">
        <v>439</v>
      </c>
    </row>
    <row r="440" spans="3:3" x14ac:dyDescent="0.3">
      <c r="C440">
        <v>440</v>
      </c>
    </row>
    <row r="441" spans="3:3" x14ac:dyDescent="0.3">
      <c r="C441">
        <v>441</v>
      </c>
    </row>
    <row r="442" spans="3:3" x14ac:dyDescent="0.3">
      <c r="C442">
        <v>442</v>
      </c>
    </row>
    <row r="443" spans="3:3" x14ac:dyDescent="0.3">
      <c r="C443">
        <v>443</v>
      </c>
    </row>
    <row r="444" spans="3:3" x14ac:dyDescent="0.3">
      <c r="C444">
        <v>444</v>
      </c>
    </row>
    <row r="445" spans="3:3" x14ac:dyDescent="0.3">
      <c r="C445">
        <v>445</v>
      </c>
    </row>
    <row r="446" spans="3:3" x14ac:dyDescent="0.3">
      <c r="C446">
        <v>446</v>
      </c>
    </row>
    <row r="447" spans="3:3" x14ac:dyDescent="0.3">
      <c r="C447">
        <v>447</v>
      </c>
    </row>
    <row r="448" spans="3:3" x14ac:dyDescent="0.3">
      <c r="C448">
        <v>448</v>
      </c>
    </row>
    <row r="449" spans="3:3" x14ac:dyDescent="0.3">
      <c r="C449">
        <v>449</v>
      </c>
    </row>
    <row r="450" spans="3:3" x14ac:dyDescent="0.3">
      <c r="C450">
        <v>450</v>
      </c>
    </row>
    <row r="451" spans="3:3" x14ac:dyDescent="0.3">
      <c r="C451">
        <v>451</v>
      </c>
    </row>
    <row r="452" spans="3:3" x14ac:dyDescent="0.3">
      <c r="C452">
        <v>452</v>
      </c>
    </row>
    <row r="453" spans="3:3" x14ac:dyDescent="0.3">
      <c r="C453">
        <v>453</v>
      </c>
    </row>
    <row r="454" spans="3:3" x14ac:dyDescent="0.3">
      <c r="C454">
        <v>454</v>
      </c>
    </row>
    <row r="455" spans="3:3" x14ac:dyDescent="0.3">
      <c r="C455">
        <v>455</v>
      </c>
    </row>
    <row r="456" spans="3:3" x14ac:dyDescent="0.3">
      <c r="C456">
        <v>456</v>
      </c>
    </row>
    <row r="457" spans="3:3" x14ac:dyDescent="0.3">
      <c r="C457">
        <v>457</v>
      </c>
    </row>
    <row r="458" spans="3:3" x14ac:dyDescent="0.3">
      <c r="C458">
        <v>458</v>
      </c>
    </row>
    <row r="459" spans="3:3" x14ac:dyDescent="0.3">
      <c r="C459">
        <v>459</v>
      </c>
    </row>
    <row r="460" spans="3:3" x14ac:dyDescent="0.3">
      <c r="C460">
        <v>460</v>
      </c>
    </row>
    <row r="461" spans="3:3" x14ac:dyDescent="0.3">
      <c r="C461">
        <v>461</v>
      </c>
    </row>
    <row r="462" spans="3:3" x14ac:dyDescent="0.3">
      <c r="C462">
        <v>462</v>
      </c>
    </row>
    <row r="463" spans="3:3" x14ac:dyDescent="0.3">
      <c r="C463">
        <v>463</v>
      </c>
    </row>
    <row r="464" spans="3:3" x14ac:dyDescent="0.3">
      <c r="C464">
        <v>464</v>
      </c>
    </row>
    <row r="465" spans="3:3" x14ac:dyDescent="0.3">
      <c r="C465">
        <v>465</v>
      </c>
    </row>
    <row r="466" spans="3:3" x14ac:dyDescent="0.3">
      <c r="C466">
        <v>466</v>
      </c>
    </row>
    <row r="467" spans="3:3" x14ac:dyDescent="0.3">
      <c r="C467">
        <v>467</v>
      </c>
    </row>
    <row r="468" spans="3:3" x14ac:dyDescent="0.3">
      <c r="C468">
        <v>468</v>
      </c>
    </row>
    <row r="469" spans="3:3" x14ac:dyDescent="0.3">
      <c r="C469">
        <v>469</v>
      </c>
    </row>
    <row r="470" spans="3:3" x14ac:dyDescent="0.3">
      <c r="C470">
        <v>470</v>
      </c>
    </row>
    <row r="471" spans="3:3" x14ac:dyDescent="0.3">
      <c r="C471">
        <v>471</v>
      </c>
    </row>
    <row r="472" spans="3:3" x14ac:dyDescent="0.3">
      <c r="C472">
        <v>472</v>
      </c>
    </row>
    <row r="473" spans="3:3" x14ac:dyDescent="0.3">
      <c r="C473">
        <v>473</v>
      </c>
    </row>
    <row r="474" spans="3:3" x14ac:dyDescent="0.3">
      <c r="C474">
        <v>474</v>
      </c>
    </row>
    <row r="475" spans="3:3" x14ac:dyDescent="0.3">
      <c r="C475">
        <v>475</v>
      </c>
    </row>
    <row r="476" spans="3:3" x14ac:dyDescent="0.3">
      <c r="C476">
        <v>476</v>
      </c>
    </row>
    <row r="477" spans="3:3" x14ac:dyDescent="0.3">
      <c r="C477">
        <v>477</v>
      </c>
    </row>
    <row r="478" spans="3:3" x14ac:dyDescent="0.3">
      <c r="C478">
        <v>478</v>
      </c>
    </row>
    <row r="479" spans="3:3" x14ac:dyDescent="0.3">
      <c r="C479">
        <v>479</v>
      </c>
    </row>
    <row r="480" spans="3:3" x14ac:dyDescent="0.3">
      <c r="C480">
        <v>480</v>
      </c>
    </row>
    <row r="481" spans="3:3" x14ac:dyDescent="0.3">
      <c r="C481">
        <v>481</v>
      </c>
    </row>
    <row r="482" spans="3:3" x14ac:dyDescent="0.3">
      <c r="C482">
        <v>482</v>
      </c>
    </row>
    <row r="483" spans="3:3" x14ac:dyDescent="0.3">
      <c r="C483">
        <v>483</v>
      </c>
    </row>
    <row r="484" spans="3:3" x14ac:dyDescent="0.3">
      <c r="C484">
        <v>484</v>
      </c>
    </row>
    <row r="485" spans="3:3" x14ac:dyDescent="0.3">
      <c r="C485">
        <v>485</v>
      </c>
    </row>
    <row r="486" spans="3:3" x14ac:dyDescent="0.3">
      <c r="C486">
        <v>486</v>
      </c>
    </row>
    <row r="487" spans="3:3" x14ac:dyDescent="0.3">
      <c r="C487">
        <v>487</v>
      </c>
    </row>
    <row r="488" spans="3:3" x14ac:dyDescent="0.3">
      <c r="C488">
        <v>488</v>
      </c>
    </row>
    <row r="489" spans="3:3" x14ac:dyDescent="0.3">
      <c r="C489">
        <v>489</v>
      </c>
    </row>
    <row r="490" spans="3:3" x14ac:dyDescent="0.3">
      <c r="C490">
        <v>490</v>
      </c>
    </row>
    <row r="491" spans="3:3" x14ac:dyDescent="0.3">
      <c r="C491">
        <v>491</v>
      </c>
    </row>
    <row r="492" spans="3:3" x14ac:dyDescent="0.3">
      <c r="C492">
        <v>492</v>
      </c>
    </row>
    <row r="493" spans="3:3" x14ac:dyDescent="0.3">
      <c r="C493">
        <v>493</v>
      </c>
    </row>
    <row r="494" spans="3:3" x14ac:dyDescent="0.3">
      <c r="C494">
        <v>494</v>
      </c>
    </row>
    <row r="495" spans="3:3" x14ac:dyDescent="0.3">
      <c r="C495">
        <v>495</v>
      </c>
    </row>
    <row r="496" spans="3:3" x14ac:dyDescent="0.3">
      <c r="C496">
        <v>496</v>
      </c>
    </row>
    <row r="497" spans="3:3" x14ac:dyDescent="0.3">
      <c r="C497">
        <v>497</v>
      </c>
    </row>
    <row r="498" spans="3:3" x14ac:dyDescent="0.3">
      <c r="C498">
        <v>498</v>
      </c>
    </row>
    <row r="499" spans="3:3" x14ac:dyDescent="0.3">
      <c r="C499">
        <v>499</v>
      </c>
    </row>
    <row r="500" spans="3:3" x14ac:dyDescent="0.3">
      <c r="C500">
        <v>500</v>
      </c>
    </row>
    <row r="501" spans="3:3" x14ac:dyDescent="0.3">
      <c r="C501">
        <v>501</v>
      </c>
    </row>
    <row r="502" spans="3:3" x14ac:dyDescent="0.3">
      <c r="C502">
        <v>502</v>
      </c>
    </row>
    <row r="503" spans="3:3" x14ac:dyDescent="0.3">
      <c r="C503">
        <v>503</v>
      </c>
    </row>
    <row r="504" spans="3:3" x14ac:dyDescent="0.3">
      <c r="C504">
        <v>504</v>
      </c>
    </row>
    <row r="505" spans="3:3" x14ac:dyDescent="0.3">
      <c r="C505">
        <v>505</v>
      </c>
    </row>
    <row r="506" spans="3:3" x14ac:dyDescent="0.3">
      <c r="C506">
        <v>506</v>
      </c>
    </row>
    <row r="507" spans="3:3" x14ac:dyDescent="0.3">
      <c r="C507">
        <v>507</v>
      </c>
    </row>
    <row r="508" spans="3:3" x14ac:dyDescent="0.3">
      <c r="C508">
        <v>508</v>
      </c>
    </row>
    <row r="509" spans="3:3" x14ac:dyDescent="0.3">
      <c r="C509">
        <v>509</v>
      </c>
    </row>
    <row r="510" spans="3:3" x14ac:dyDescent="0.3">
      <c r="C510">
        <v>510</v>
      </c>
    </row>
    <row r="511" spans="3:3" x14ac:dyDescent="0.3">
      <c r="C511">
        <v>511</v>
      </c>
    </row>
    <row r="512" spans="3:3" x14ac:dyDescent="0.3">
      <c r="C512">
        <v>512</v>
      </c>
    </row>
    <row r="513" spans="3:3" x14ac:dyDescent="0.3">
      <c r="C513">
        <v>513</v>
      </c>
    </row>
    <row r="514" spans="3:3" x14ac:dyDescent="0.3">
      <c r="C514">
        <v>514</v>
      </c>
    </row>
    <row r="515" spans="3:3" x14ac:dyDescent="0.3">
      <c r="C515">
        <v>515</v>
      </c>
    </row>
    <row r="516" spans="3:3" x14ac:dyDescent="0.3">
      <c r="C516">
        <v>516</v>
      </c>
    </row>
    <row r="517" spans="3:3" x14ac:dyDescent="0.3">
      <c r="C517">
        <v>517</v>
      </c>
    </row>
    <row r="518" spans="3:3" x14ac:dyDescent="0.3">
      <c r="C518">
        <v>518</v>
      </c>
    </row>
    <row r="519" spans="3:3" x14ac:dyDescent="0.3">
      <c r="C519">
        <v>519</v>
      </c>
    </row>
    <row r="520" spans="3:3" x14ac:dyDescent="0.3">
      <c r="C520">
        <v>520</v>
      </c>
    </row>
    <row r="521" spans="3:3" x14ac:dyDescent="0.3">
      <c r="C521">
        <v>521</v>
      </c>
    </row>
    <row r="522" spans="3:3" x14ac:dyDescent="0.3">
      <c r="C522">
        <v>522</v>
      </c>
    </row>
    <row r="523" spans="3:3" x14ac:dyDescent="0.3">
      <c r="C523">
        <v>523</v>
      </c>
    </row>
    <row r="524" spans="3:3" x14ac:dyDescent="0.3">
      <c r="C524">
        <v>524</v>
      </c>
    </row>
    <row r="525" spans="3:3" x14ac:dyDescent="0.3">
      <c r="C525">
        <v>525</v>
      </c>
    </row>
    <row r="526" spans="3:3" x14ac:dyDescent="0.3">
      <c r="C526">
        <v>526</v>
      </c>
    </row>
    <row r="527" spans="3:3" x14ac:dyDescent="0.3">
      <c r="C527">
        <v>527</v>
      </c>
    </row>
    <row r="528" spans="3:3" x14ac:dyDescent="0.3">
      <c r="C528">
        <v>528</v>
      </c>
    </row>
    <row r="529" spans="3:3" x14ac:dyDescent="0.3">
      <c r="C529">
        <v>529</v>
      </c>
    </row>
    <row r="530" spans="3:3" x14ac:dyDescent="0.3">
      <c r="C530">
        <v>530</v>
      </c>
    </row>
    <row r="531" spans="3:3" x14ac:dyDescent="0.3">
      <c r="C531">
        <v>531</v>
      </c>
    </row>
    <row r="532" spans="3:3" x14ac:dyDescent="0.3">
      <c r="C532">
        <v>532</v>
      </c>
    </row>
    <row r="533" spans="3:3" x14ac:dyDescent="0.3">
      <c r="C533">
        <v>533</v>
      </c>
    </row>
    <row r="534" spans="3:3" x14ac:dyDescent="0.3">
      <c r="C534">
        <v>534</v>
      </c>
    </row>
    <row r="535" spans="3:3" x14ac:dyDescent="0.3">
      <c r="C535">
        <v>535</v>
      </c>
    </row>
    <row r="536" spans="3:3" x14ac:dyDescent="0.3">
      <c r="C536">
        <v>536</v>
      </c>
    </row>
    <row r="537" spans="3:3" x14ac:dyDescent="0.3">
      <c r="C537">
        <v>537</v>
      </c>
    </row>
    <row r="538" spans="3:3" x14ac:dyDescent="0.3">
      <c r="C538">
        <v>538</v>
      </c>
    </row>
    <row r="539" spans="3:3" x14ac:dyDescent="0.3">
      <c r="C539">
        <v>539</v>
      </c>
    </row>
    <row r="540" spans="3:3" x14ac:dyDescent="0.3">
      <c r="C540">
        <v>540</v>
      </c>
    </row>
    <row r="541" spans="3:3" x14ac:dyDescent="0.3">
      <c r="C541">
        <v>541</v>
      </c>
    </row>
    <row r="542" spans="3:3" x14ac:dyDescent="0.3">
      <c r="C542">
        <v>542</v>
      </c>
    </row>
    <row r="543" spans="3:3" x14ac:dyDescent="0.3">
      <c r="C543">
        <v>543</v>
      </c>
    </row>
    <row r="544" spans="3:3" x14ac:dyDescent="0.3">
      <c r="C544">
        <v>544</v>
      </c>
    </row>
    <row r="545" spans="3:3" x14ac:dyDescent="0.3">
      <c r="C545">
        <v>545</v>
      </c>
    </row>
    <row r="546" spans="3:3" x14ac:dyDescent="0.3">
      <c r="C546">
        <v>546</v>
      </c>
    </row>
    <row r="547" spans="3:3" x14ac:dyDescent="0.3">
      <c r="C547">
        <v>547</v>
      </c>
    </row>
    <row r="548" spans="3:3" x14ac:dyDescent="0.3">
      <c r="C548">
        <v>548</v>
      </c>
    </row>
    <row r="549" spans="3:3" x14ac:dyDescent="0.3">
      <c r="C549">
        <v>549</v>
      </c>
    </row>
    <row r="550" spans="3:3" x14ac:dyDescent="0.3">
      <c r="C550">
        <v>550</v>
      </c>
    </row>
    <row r="551" spans="3:3" x14ac:dyDescent="0.3">
      <c r="C551">
        <v>551</v>
      </c>
    </row>
    <row r="552" spans="3:3" x14ac:dyDescent="0.3">
      <c r="C552">
        <v>552</v>
      </c>
    </row>
    <row r="553" spans="3:3" x14ac:dyDescent="0.3">
      <c r="C553">
        <v>553</v>
      </c>
    </row>
    <row r="554" spans="3:3" x14ac:dyDescent="0.3">
      <c r="C554">
        <v>554</v>
      </c>
    </row>
    <row r="555" spans="3:3" x14ac:dyDescent="0.3">
      <c r="C555">
        <v>555</v>
      </c>
    </row>
    <row r="556" spans="3:3" x14ac:dyDescent="0.3">
      <c r="C556">
        <v>556</v>
      </c>
    </row>
    <row r="557" spans="3:3" x14ac:dyDescent="0.3">
      <c r="C557">
        <v>557</v>
      </c>
    </row>
    <row r="558" spans="3:3" x14ac:dyDescent="0.3">
      <c r="C558">
        <v>558</v>
      </c>
    </row>
    <row r="559" spans="3:3" x14ac:dyDescent="0.3">
      <c r="C559">
        <v>559</v>
      </c>
    </row>
    <row r="560" spans="3:3" x14ac:dyDescent="0.3">
      <c r="C560">
        <v>560</v>
      </c>
    </row>
    <row r="561" spans="3:3" x14ac:dyDescent="0.3">
      <c r="C561">
        <v>561</v>
      </c>
    </row>
    <row r="562" spans="3:3" x14ac:dyDescent="0.3">
      <c r="C562">
        <v>562</v>
      </c>
    </row>
    <row r="563" spans="3:3" x14ac:dyDescent="0.3">
      <c r="C563">
        <v>563</v>
      </c>
    </row>
    <row r="564" spans="3:3" x14ac:dyDescent="0.3">
      <c r="C564">
        <v>564</v>
      </c>
    </row>
    <row r="565" spans="3:3" x14ac:dyDescent="0.3">
      <c r="C565">
        <v>565</v>
      </c>
    </row>
    <row r="566" spans="3:3" x14ac:dyDescent="0.3">
      <c r="C566">
        <v>566</v>
      </c>
    </row>
    <row r="567" spans="3:3" x14ac:dyDescent="0.3">
      <c r="C567">
        <v>567</v>
      </c>
    </row>
    <row r="568" spans="3:3" x14ac:dyDescent="0.3">
      <c r="C568">
        <v>568</v>
      </c>
    </row>
    <row r="569" spans="3:3" x14ac:dyDescent="0.3">
      <c r="C569">
        <v>569</v>
      </c>
    </row>
    <row r="570" spans="3:3" x14ac:dyDescent="0.3">
      <c r="C570">
        <v>570</v>
      </c>
    </row>
    <row r="571" spans="3:3" x14ac:dyDescent="0.3">
      <c r="C571">
        <v>571</v>
      </c>
    </row>
    <row r="572" spans="3:3" x14ac:dyDescent="0.3">
      <c r="C572">
        <v>572</v>
      </c>
    </row>
    <row r="573" spans="3:3" x14ac:dyDescent="0.3">
      <c r="C573">
        <v>573</v>
      </c>
    </row>
    <row r="574" spans="3:3" x14ac:dyDescent="0.3">
      <c r="C574">
        <v>574</v>
      </c>
    </row>
    <row r="575" spans="3:3" x14ac:dyDescent="0.3">
      <c r="C575">
        <v>575</v>
      </c>
    </row>
    <row r="576" spans="3:3" x14ac:dyDescent="0.3">
      <c r="C576">
        <v>576</v>
      </c>
    </row>
    <row r="577" spans="3:3" x14ac:dyDescent="0.3">
      <c r="C577">
        <v>577</v>
      </c>
    </row>
    <row r="578" spans="3:3" x14ac:dyDescent="0.3">
      <c r="C578">
        <v>578</v>
      </c>
    </row>
    <row r="579" spans="3:3" x14ac:dyDescent="0.3">
      <c r="C579">
        <v>579</v>
      </c>
    </row>
    <row r="580" spans="3:3" x14ac:dyDescent="0.3">
      <c r="C580">
        <v>580</v>
      </c>
    </row>
    <row r="581" spans="3:3" x14ac:dyDescent="0.3">
      <c r="C581">
        <v>581</v>
      </c>
    </row>
    <row r="582" spans="3:3" x14ac:dyDescent="0.3">
      <c r="C582">
        <v>582</v>
      </c>
    </row>
    <row r="583" spans="3:3" x14ac:dyDescent="0.3">
      <c r="C583">
        <v>583</v>
      </c>
    </row>
    <row r="584" spans="3:3" x14ac:dyDescent="0.3">
      <c r="C584">
        <v>584</v>
      </c>
    </row>
    <row r="585" spans="3:3" x14ac:dyDescent="0.3">
      <c r="C585">
        <v>585</v>
      </c>
    </row>
    <row r="586" spans="3:3" x14ac:dyDescent="0.3">
      <c r="C586">
        <v>586</v>
      </c>
    </row>
    <row r="587" spans="3:3" x14ac:dyDescent="0.3">
      <c r="C587">
        <v>587</v>
      </c>
    </row>
    <row r="588" spans="3:3" x14ac:dyDescent="0.3">
      <c r="C588">
        <v>588</v>
      </c>
    </row>
    <row r="589" spans="3:3" x14ac:dyDescent="0.3">
      <c r="C589">
        <v>589</v>
      </c>
    </row>
    <row r="590" spans="3:3" x14ac:dyDescent="0.3">
      <c r="C590">
        <v>590</v>
      </c>
    </row>
    <row r="591" spans="3:3" x14ac:dyDescent="0.3">
      <c r="C591">
        <v>591</v>
      </c>
    </row>
    <row r="592" spans="3:3" x14ac:dyDescent="0.3">
      <c r="C592">
        <v>592</v>
      </c>
    </row>
    <row r="593" spans="3:3" x14ac:dyDescent="0.3">
      <c r="C593">
        <v>593</v>
      </c>
    </row>
    <row r="594" spans="3:3" x14ac:dyDescent="0.3">
      <c r="C594">
        <v>594</v>
      </c>
    </row>
    <row r="595" spans="3:3" x14ac:dyDescent="0.3">
      <c r="C595">
        <v>595</v>
      </c>
    </row>
    <row r="596" spans="3:3" x14ac:dyDescent="0.3">
      <c r="C596">
        <v>596</v>
      </c>
    </row>
    <row r="597" spans="3:3" x14ac:dyDescent="0.3">
      <c r="C597">
        <v>597</v>
      </c>
    </row>
    <row r="598" spans="3:3" x14ac:dyDescent="0.3">
      <c r="C598">
        <v>598</v>
      </c>
    </row>
    <row r="599" spans="3:3" x14ac:dyDescent="0.3">
      <c r="C599">
        <v>599</v>
      </c>
    </row>
    <row r="600" spans="3:3" x14ac:dyDescent="0.3">
      <c r="C600">
        <v>600</v>
      </c>
    </row>
    <row r="601" spans="3:3" x14ac:dyDescent="0.3">
      <c r="C601">
        <v>601</v>
      </c>
    </row>
    <row r="602" spans="3:3" x14ac:dyDescent="0.3">
      <c r="C602">
        <v>602</v>
      </c>
    </row>
    <row r="603" spans="3:3" x14ac:dyDescent="0.3">
      <c r="C603">
        <v>603</v>
      </c>
    </row>
    <row r="604" spans="3:3" x14ac:dyDescent="0.3">
      <c r="C604">
        <v>604</v>
      </c>
    </row>
    <row r="605" spans="3:3" x14ac:dyDescent="0.3">
      <c r="C605">
        <v>605</v>
      </c>
    </row>
    <row r="606" spans="3:3" x14ac:dyDescent="0.3">
      <c r="C606">
        <v>606</v>
      </c>
    </row>
    <row r="607" spans="3:3" x14ac:dyDescent="0.3">
      <c r="C607">
        <v>607</v>
      </c>
    </row>
    <row r="608" spans="3:3" x14ac:dyDescent="0.3">
      <c r="C608">
        <v>608</v>
      </c>
    </row>
    <row r="609" spans="3:3" x14ac:dyDescent="0.3">
      <c r="C609">
        <v>609</v>
      </c>
    </row>
    <row r="610" spans="3:3" x14ac:dyDescent="0.3">
      <c r="C610">
        <v>610</v>
      </c>
    </row>
    <row r="611" spans="3:3" x14ac:dyDescent="0.3">
      <c r="C611">
        <v>611</v>
      </c>
    </row>
    <row r="612" spans="3:3" x14ac:dyDescent="0.3">
      <c r="C612">
        <v>612</v>
      </c>
    </row>
    <row r="613" spans="3:3" x14ac:dyDescent="0.3">
      <c r="C613">
        <v>613</v>
      </c>
    </row>
    <row r="614" spans="3:3" x14ac:dyDescent="0.3">
      <c r="C614">
        <v>614</v>
      </c>
    </row>
    <row r="615" spans="3:3" x14ac:dyDescent="0.3">
      <c r="C615">
        <v>615</v>
      </c>
    </row>
    <row r="616" spans="3:3" x14ac:dyDescent="0.3">
      <c r="C616">
        <v>616</v>
      </c>
    </row>
    <row r="617" spans="3:3" x14ac:dyDescent="0.3">
      <c r="C617">
        <v>617</v>
      </c>
    </row>
    <row r="618" spans="3:3" x14ac:dyDescent="0.3">
      <c r="C618">
        <v>618</v>
      </c>
    </row>
    <row r="619" spans="3:3" x14ac:dyDescent="0.3">
      <c r="C619">
        <v>619</v>
      </c>
    </row>
    <row r="620" spans="3:3" x14ac:dyDescent="0.3">
      <c r="C620">
        <v>620</v>
      </c>
    </row>
    <row r="621" spans="3:3" x14ac:dyDescent="0.3">
      <c r="C621">
        <v>621</v>
      </c>
    </row>
    <row r="622" spans="3:3" x14ac:dyDescent="0.3">
      <c r="C622">
        <v>622</v>
      </c>
    </row>
    <row r="623" spans="3:3" x14ac:dyDescent="0.3">
      <c r="C623">
        <v>623</v>
      </c>
    </row>
    <row r="624" spans="3:3" x14ac:dyDescent="0.3">
      <c r="C624">
        <v>624</v>
      </c>
    </row>
    <row r="625" spans="3:3" x14ac:dyDescent="0.3">
      <c r="C625">
        <v>625</v>
      </c>
    </row>
    <row r="626" spans="3:3" x14ac:dyDescent="0.3">
      <c r="C626">
        <v>626</v>
      </c>
    </row>
    <row r="627" spans="3:3" x14ac:dyDescent="0.3">
      <c r="C627">
        <v>627</v>
      </c>
    </row>
    <row r="628" spans="3:3" x14ac:dyDescent="0.3">
      <c r="C628">
        <v>628</v>
      </c>
    </row>
    <row r="629" spans="3:3" x14ac:dyDescent="0.3">
      <c r="C629">
        <v>629</v>
      </c>
    </row>
    <row r="630" spans="3:3" x14ac:dyDescent="0.3">
      <c r="C630">
        <v>630</v>
      </c>
    </row>
    <row r="631" spans="3:3" x14ac:dyDescent="0.3">
      <c r="C631">
        <v>631</v>
      </c>
    </row>
    <row r="632" spans="3:3" x14ac:dyDescent="0.3">
      <c r="C632">
        <v>632</v>
      </c>
    </row>
    <row r="633" spans="3:3" x14ac:dyDescent="0.3">
      <c r="C633">
        <v>633</v>
      </c>
    </row>
    <row r="634" spans="3:3" x14ac:dyDescent="0.3">
      <c r="C634">
        <v>634</v>
      </c>
    </row>
    <row r="635" spans="3:3" x14ac:dyDescent="0.3">
      <c r="C635">
        <v>635</v>
      </c>
    </row>
    <row r="636" spans="3:3" x14ac:dyDescent="0.3">
      <c r="C636">
        <v>636</v>
      </c>
    </row>
    <row r="637" spans="3:3" x14ac:dyDescent="0.3">
      <c r="C637">
        <v>637</v>
      </c>
    </row>
    <row r="638" spans="3:3" x14ac:dyDescent="0.3">
      <c r="C638">
        <v>638</v>
      </c>
    </row>
    <row r="639" spans="3:3" x14ac:dyDescent="0.3">
      <c r="C639">
        <v>639</v>
      </c>
    </row>
    <row r="640" spans="3:3" x14ac:dyDescent="0.3">
      <c r="C640">
        <v>640</v>
      </c>
    </row>
    <row r="641" spans="3:3" x14ac:dyDescent="0.3">
      <c r="C641">
        <v>641</v>
      </c>
    </row>
    <row r="642" spans="3:3" x14ac:dyDescent="0.3">
      <c r="C642">
        <v>642</v>
      </c>
    </row>
    <row r="643" spans="3:3" x14ac:dyDescent="0.3">
      <c r="C643">
        <v>643</v>
      </c>
    </row>
    <row r="644" spans="3:3" x14ac:dyDescent="0.3">
      <c r="C644">
        <v>644</v>
      </c>
    </row>
    <row r="645" spans="3:3" x14ac:dyDescent="0.3">
      <c r="C645">
        <v>645</v>
      </c>
    </row>
    <row r="646" spans="3:3" x14ac:dyDescent="0.3">
      <c r="C646">
        <v>646</v>
      </c>
    </row>
    <row r="647" spans="3:3" x14ac:dyDescent="0.3">
      <c r="C647">
        <v>647</v>
      </c>
    </row>
    <row r="648" spans="3:3" x14ac:dyDescent="0.3">
      <c r="C648">
        <v>648</v>
      </c>
    </row>
    <row r="649" spans="3:3" x14ac:dyDescent="0.3">
      <c r="C649">
        <v>649</v>
      </c>
    </row>
    <row r="650" spans="3:3" x14ac:dyDescent="0.3">
      <c r="C650">
        <v>650</v>
      </c>
    </row>
    <row r="651" spans="3:3" x14ac:dyDescent="0.3">
      <c r="C651">
        <v>651</v>
      </c>
    </row>
    <row r="652" spans="3:3" x14ac:dyDescent="0.3">
      <c r="C652">
        <v>652</v>
      </c>
    </row>
    <row r="653" spans="3:3" x14ac:dyDescent="0.3">
      <c r="C653">
        <v>653</v>
      </c>
    </row>
    <row r="654" spans="3:3" x14ac:dyDescent="0.3">
      <c r="C654">
        <v>654</v>
      </c>
    </row>
    <row r="655" spans="3:3" x14ac:dyDescent="0.3">
      <c r="C655">
        <v>655</v>
      </c>
    </row>
    <row r="656" spans="3:3" x14ac:dyDescent="0.3">
      <c r="C656">
        <v>656</v>
      </c>
    </row>
    <row r="657" spans="3:3" x14ac:dyDescent="0.3">
      <c r="C657">
        <v>657</v>
      </c>
    </row>
    <row r="658" spans="3:3" x14ac:dyDescent="0.3">
      <c r="C658">
        <v>658</v>
      </c>
    </row>
    <row r="659" spans="3:3" x14ac:dyDescent="0.3">
      <c r="C659">
        <v>659</v>
      </c>
    </row>
    <row r="660" spans="3:3" x14ac:dyDescent="0.3">
      <c r="C660">
        <v>660</v>
      </c>
    </row>
    <row r="661" spans="3:3" x14ac:dyDescent="0.3">
      <c r="C661">
        <v>661</v>
      </c>
    </row>
    <row r="662" spans="3:3" x14ac:dyDescent="0.3">
      <c r="C662">
        <v>662</v>
      </c>
    </row>
    <row r="663" spans="3:3" x14ac:dyDescent="0.3">
      <c r="C663">
        <v>663</v>
      </c>
    </row>
    <row r="664" spans="3:3" x14ac:dyDescent="0.3">
      <c r="C664">
        <v>664</v>
      </c>
    </row>
    <row r="665" spans="3:3" x14ac:dyDescent="0.3">
      <c r="C665">
        <v>665</v>
      </c>
    </row>
    <row r="666" spans="3:3" x14ac:dyDescent="0.3">
      <c r="C666">
        <v>666</v>
      </c>
    </row>
    <row r="667" spans="3:3" x14ac:dyDescent="0.3">
      <c r="C667">
        <v>667</v>
      </c>
    </row>
    <row r="668" spans="3:3" x14ac:dyDescent="0.3">
      <c r="C668">
        <v>668</v>
      </c>
    </row>
    <row r="669" spans="3:3" x14ac:dyDescent="0.3">
      <c r="C669">
        <v>669</v>
      </c>
    </row>
    <row r="670" spans="3:3" x14ac:dyDescent="0.3">
      <c r="C670">
        <v>670</v>
      </c>
    </row>
    <row r="671" spans="3:3" x14ac:dyDescent="0.3">
      <c r="C671">
        <v>671</v>
      </c>
    </row>
    <row r="672" spans="3:3" x14ac:dyDescent="0.3">
      <c r="C672">
        <v>672</v>
      </c>
    </row>
    <row r="673" spans="3:3" x14ac:dyDescent="0.3">
      <c r="C673">
        <v>673</v>
      </c>
    </row>
    <row r="674" spans="3:3" x14ac:dyDescent="0.3">
      <c r="C674">
        <v>674</v>
      </c>
    </row>
    <row r="675" spans="3:3" x14ac:dyDescent="0.3">
      <c r="C675">
        <v>675</v>
      </c>
    </row>
    <row r="676" spans="3:3" x14ac:dyDescent="0.3">
      <c r="C676">
        <v>676</v>
      </c>
    </row>
    <row r="677" spans="3:3" x14ac:dyDescent="0.3">
      <c r="C677">
        <v>677</v>
      </c>
    </row>
    <row r="678" spans="3:3" x14ac:dyDescent="0.3">
      <c r="C678">
        <v>678</v>
      </c>
    </row>
    <row r="679" spans="3:3" x14ac:dyDescent="0.3">
      <c r="C679">
        <v>679</v>
      </c>
    </row>
    <row r="680" spans="3:3" x14ac:dyDescent="0.3">
      <c r="C680">
        <v>680</v>
      </c>
    </row>
    <row r="681" spans="3:3" x14ac:dyDescent="0.3">
      <c r="C681">
        <v>681</v>
      </c>
    </row>
    <row r="682" spans="3:3" x14ac:dyDescent="0.3">
      <c r="C682">
        <v>682</v>
      </c>
    </row>
    <row r="683" spans="3:3" x14ac:dyDescent="0.3">
      <c r="C683">
        <v>683</v>
      </c>
    </row>
    <row r="684" spans="3:3" x14ac:dyDescent="0.3">
      <c r="C684">
        <v>684</v>
      </c>
    </row>
    <row r="685" spans="3:3" x14ac:dyDescent="0.3">
      <c r="C685">
        <v>685</v>
      </c>
    </row>
    <row r="686" spans="3:3" x14ac:dyDescent="0.3">
      <c r="C686">
        <v>686</v>
      </c>
    </row>
    <row r="687" spans="3:3" x14ac:dyDescent="0.3">
      <c r="C687">
        <v>687</v>
      </c>
    </row>
    <row r="688" spans="3:3" x14ac:dyDescent="0.3">
      <c r="C688">
        <v>688</v>
      </c>
    </row>
    <row r="689" spans="3:3" x14ac:dyDescent="0.3">
      <c r="C689">
        <v>689</v>
      </c>
    </row>
    <row r="690" spans="3:3" x14ac:dyDescent="0.3">
      <c r="C690">
        <v>690</v>
      </c>
    </row>
    <row r="691" spans="3:3" x14ac:dyDescent="0.3">
      <c r="C691">
        <v>691</v>
      </c>
    </row>
    <row r="692" spans="3:3" x14ac:dyDescent="0.3">
      <c r="C692">
        <v>692</v>
      </c>
    </row>
    <row r="693" spans="3:3" x14ac:dyDescent="0.3">
      <c r="C693">
        <v>693</v>
      </c>
    </row>
    <row r="694" spans="3:3" x14ac:dyDescent="0.3">
      <c r="C694">
        <v>694</v>
      </c>
    </row>
    <row r="695" spans="3:3" x14ac:dyDescent="0.3">
      <c r="C695">
        <v>695</v>
      </c>
    </row>
    <row r="696" spans="3:3" x14ac:dyDescent="0.3">
      <c r="C696">
        <v>696</v>
      </c>
    </row>
    <row r="697" spans="3:3" x14ac:dyDescent="0.3">
      <c r="C697">
        <v>697</v>
      </c>
    </row>
    <row r="698" spans="3:3" x14ac:dyDescent="0.3">
      <c r="C698">
        <v>698</v>
      </c>
    </row>
    <row r="699" spans="3:3" x14ac:dyDescent="0.3">
      <c r="C699">
        <v>699</v>
      </c>
    </row>
    <row r="700" spans="3:3" x14ac:dyDescent="0.3">
      <c r="C700">
        <v>700</v>
      </c>
    </row>
    <row r="701" spans="3:3" x14ac:dyDescent="0.3">
      <c r="C701">
        <v>701</v>
      </c>
    </row>
    <row r="702" spans="3:3" x14ac:dyDescent="0.3">
      <c r="C702">
        <v>702</v>
      </c>
    </row>
    <row r="703" spans="3:3" x14ac:dyDescent="0.3">
      <c r="C703">
        <v>703</v>
      </c>
    </row>
    <row r="704" spans="3:3" x14ac:dyDescent="0.3">
      <c r="C704">
        <v>704</v>
      </c>
    </row>
    <row r="705" spans="3:3" x14ac:dyDescent="0.3">
      <c r="C705">
        <v>705</v>
      </c>
    </row>
    <row r="706" spans="3:3" x14ac:dyDescent="0.3">
      <c r="C706">
        <v>706</v>
      </c>
    </row>
    <row r="707" spans="3:3" x14ac:dyDescent="0.3">
      <c r="C707">
        <v>707</v>
      </c>
    </row>
    <row r="708" spans="3:3" x14ac:dyDescent="0.3">
      <c r="C708">
        <v>708</v>
      </c>
    </row>
    <row r="709" spans="3:3" x14ac:dyDescent="0.3">
      <c r="C709">
        <v>709</v>
      </c>
    </row>
    <row r="710" spans="3:3" x14ac:dyDescent="0.3">
      <c r="C710">
        <v>710</v>
      </c>
    </row>
    <row r="711" spans="3:3" x14ac:dyDescent="0.3">
      <c r="C711">
        <v>711</v>
      </c>
    </row>
    <row r="712" spans="3:3" x14ac:dyDescent="0.3">
      <c r="C712">
        <v>712</v>
      </c>
    </row>
    <row r="713" spans="3:3" x14ac:dyDescent="0.3">
      <c r="C713">
        <v>713</v>
      </c>
    </row>
    <row r="714" spans="3:3" x14ac:dyDescent="0.3">
      <c r="C714">
        <v>714</v>
      </c>
    </row>
    <row r="715" spans="3:3" x14ac:dyDescent="0.3">
      <c r="C715">
        <v>715</v>
      </c>
    </row>
    <row r="716" spans="3:3" x14ac:dyDescent="0.3">
      <c r="C716">
        <v>716</v>
      </c>
    </row>
    <row r="717" spans="3:3" x14ac:dyDescent="0.3">
      <c r="C717">
        <v>717</v>
      </c>
    </row>
    <row r="718" spans="3:3" x14ac:dyDescent="0.3">
      <c r="C718">
        <v>718</v>
      </c>
    </row>
    <row r="719" spans="3:3" x14ac:dyDescent="0.3">
      <c r="C719">
        <v>719</v>
      </c>
    </row>
    <row r="720" spans="3:3" x14ac:dyDescent="0.3">
      <c r="C720">
        <v>720</v>
      </c>
    </row>
    <row r="721" spans="3:3" x14ac:dyDescent="0.3">
      <c r="C721">
        <v>721</v>
      </c>
    </row>
    <row r="722" spans="3:3" x14ac:dyDescent="0.3">
      <c r="C722">
        <v>722</v>
      </c>
    </row>
    <row r="723" spans="3:3" x14ac:dyDescent="0.3">
      <c r="C723">
        <v>723</v>
      </c>
    </row>
    <row r="724" spans="3:3" x14ac:dyDescent="0.3">
      <c r="C724">
        <v>724</v>
      </c>
    </row>
    <row r="725" spans="3:3" x14ac:dyDescent="0.3">
      <c r="C725">
        <v>725</v>
      </c>
    </row>
    <row r="726" spans="3:3" x14ac:dyDescent="0.3">
      <c r="C726">
        <v>726</v>
      </c>
    </row>
    <row r="727" spans="3:3" x14ac:dyDescent="0.3">
      <c r="C727">
        <v>727</v>
      </c>
    </row>
    <row r="728" spans="3:3" x14ac:dyDescent="0.3">
      <c r="C728">
        <v>728</v>
      </c>
    </row>
    <row r="729" spans="3:3" x14ac:dyDescent="0.3">
      <c r="C729">
        <v>729</v>
      </c>
    </row>
    <row r="730" spans="3:3" x14ac:dyDescent="0.3">
      <c r="C730">
        <v>730</v>
      </c>
    </row>
    <row r="731" spans="3:3" x14ac:dyDescent="0.3">
      <c r="C731">
        <v>731</v>
      </c>
    </row>
    <row r="732" spans="3:3" x14ac:dyDescent="0.3">
      <c r="C732">
        <v>732</v>
      </c>
    </row>
    <row r="733" spans="3:3" x14ac:dyDescent="0.3">
      <c r="C733">
        <v>733</v>
      </c>
    </row>
    <row r="734" spans="3:3" x14ac:dyDescent="0.3">
      <c r="C734">
        <v>734</v>
      </c>
    </row>
    <row r="735" spans="3:3" x14ac:dyDescent="0.3">
      <c r="C735">
        <v>735</v>
      </c>
    </row>
    <row r="736" spans="3:3" x14ac:dyDescent="0.3">
      <c r="C736">
        <v>736</v>
      </c>
    </row>
    <row r="737" spans="3:3" x14ac:dyDescent="0.3">
      <c r="C737">
        <v>737</v>
      </c>
    </row>
    <row r="738" spans="3:3" x14ac:dyDescent="0.3">
      <c r="C738">
        <v>738</v>
      </c>
    </row>
    <row r="739" spans="3:3" x14ac:dyDescent="0.3">
      <c r="C739">
        <v>739</v>
      </c>
    </row>
    <row r="740" spans="3:3" x14ac:dyDescent="0.3">
      <c r="C740">
        <v>740</v>
      </c>
    </row>
    <row r="741" spans="3:3" x14ac:dyDescent="0.3">
      <c r="C741">
        <v>741</v>
      </c>
    </row>
    <row r="742" spans="3:3" x14ac:dyDescent="0.3">
      <c r="C742">
        <v>742</v>
      </c>
    </row>
    <row r="743" spans="3:3" x14ac:dyDescent="0.3">
      <c r="C743">
        <v>743</v>
      </c>
    </row>
    <row r="744" spans="3:3" x14ac:dyDescent="0.3">
      <c r="C744">
        <v>744</v>
      </c>
    </row>
    <row r="745" spans="3:3" x14ac:dyDescent="0.3">
      <c r="C745">
        <v>745</v>
      </c>
    </row>
    <row r="746" spans="3:3" x14ac:dyDescent="0.3">
      <c r="C746">
        <v>746</v>
      </c>
    </row>
    <row r="747" spans="3:3" x14ac:dyDescent="0.3">
      <c r="C747">
        <v>747</v>
      </c>
    </row>
    <row r="748" spans="3:3" x14ac:dyDescent="0.3">
      <c r="C748">
        <v>748</v>
      </c>
    </row>
    <row r="749" spans="3:3" x14ac:dyDescent="0.3">
      <c r="C749">
        <v>749</v>
      </c>
    </row>
    <row r="750" spans="3:3" x14ac:dyDescent="0.3">
      <c r="C750">
        <v>750</v>
      </c>
    </row>
    <row r="751" spans="3:3" x14ac:dyDescent="0.3">
      <c r="C751">
        <v>751</v>
      </c>
    </row>
    <row r="752" spans="3:3" x14ac:dyDescent="0.3">
      <c r="C752">
        <v>752</v>
      </c>
    </row>
    <row r="753" spans="3:3" x14ac:dyDescent="0.3">
      <c r="C753">
        <v>753</v>
      </c>
    </row>
    <row r="754" spans="3:3" x14ac:dyDescent="0.3">
      <c r="C754">
        <v>754</v>
      </c>
    </row>
    <row r="755" spans="3:3" x14ac:dyDescent="0.3">
      <c r="C755">
        <v>755</v>
      </c>
    </row>
    <row r="756" spans="3:3" x14ac:dyDescent="0.3">
      <c r="C756">
        <v>756</v>
      </c>
    </row>
    <row r="757" spans="3:3" x14ac:dyDescent="0.3">
      <c r="C757">
        <v>757</v>
      </c>
    </row>
    <row r="758" spans="3:3" x14ac:dyDescent="0.3">
      <c r="C758">
        <v>758</v>
      </c>
    </row>
    <row r="759" spans="3:3" x14ac:dyDescent="0.3">
      <c r="C759">
        <v>759</v>
      </c>
    </row>
    <row r="760" spans="3:3" x14ac:dyDescent="0.3">
      <c r="C760">
        <v>760</v>
      </c>
    </row>
    <row r="761" spans="3:3" x14ac:dyDescent="0.3">
      <c r="C761">
        <v>761</v>
      </c>
    </row>
    <row r="762" spans="3:3" x14ac:dyDescent="0.3">
      <c r="C762">
        <v>762</v>
      </c>
    </row>
    <row r="763" spans="3:3" x14ac:dyDescent="0.3">
      <c r="C763">
        <v>763</v>
      </c>
    </row>
    <row r="764" spans="3:3" x14ac:dyDescent="0.3">
      <c r="C764">
        <v>764</v>
      </c>
    </row>
    <row r="765" spans="3:3" x14ac:dyDescent="0.3">
      <c r="C765">
        <v>765</v>
      </c>
    </row>
    <row r="766" spans="3:3" x14ac:dyDescent="0.3">
      <c r="C766">
        <v>766</v>
      </c>
    </row>
    <row r="767" spans="3:3" x14ac:dyDescent="0.3">
      <c r="C767">
        <v>767</v>
      </c>
    </row>
    <row r="768" spans="3:3" x14ac:dyDescent="0.3">
      <c r="C768">
        <v>768</v>
      </c>
    </row>
    <row r="769" spans="3:3" x14ac:dyDescent="0.3">
      <c r="C769">
        <v>769</v>
      </c>
    </row>
    <row r="770" spans="3:3" x14ac:dyDescent="0.3">
      <c r="C770">
        <v>770</v>
      </c>
    </row>
    <row r="771" spans="3:3" x14ac:dyDescent="0.3">
      <c r="C771">
        <v>771</v>
      </c>
    </row>
    <row r="772" spans="3:3" x14ac:dyDescent="0.3">
      <c r="C772">
        <v>772</v>
      </c>
    </row>
    <row r="773" spans="3:3" x14ac:dyDescent="0.3">
      <c r="C773">
        <v>773</v>
      </c>
    </row>
    <row r="774" spans="3:3" x14ac:dyDescent="0.3">
      <c r="C774">
        <v>774</v>
      </c>
    </row>
    <row r="775" spans="3:3" x14ac:dyDescent="0.3">
      <c r="C775">
        <v>775</v>
      </c>
    </row>
    <row r="776" spans="3:3" x14ac:dyDescent="0.3">
      <c r="C776">
        <v>776</v>
      </c>
    </row>
    <row r="777" spans="3:3" x14ac:dyDescent="0.3">
      <c r="C777">
        <v>777</v>
      </c>
    </row>
    <row r="778" spans="3:3" x14ac:dyDescent="0.3">
      <c r="C778">
        <v>778</v>
      </c>
    </row>
    <row r="779" spans="3:3" x14ac:dyDescent="0.3">
      <c r="C779">
        <v>779</v>
      </c>
    </row>
    <row r="780" spans="3:3" x14ac:dyDescent="0.3">
      <c r="C780">
        <v>780</v>
      </c>
    </row>
    <row r="781" spans="3:3" x14ac:dyDescent="0.3">
      <c r="C781">
        <v>781</v>
      </c>
    </row>
    <row r="782" spans="3:3" x14ac:dyDescent="0.3">
      <c r="C782">
        <v>782</v>
      </c>
    </row>
    <row r="783" spans="3:3" x14ac:dyDescent="0.3">
      <c r="C783">
        <v>783</v>
      </c>
    </row>
    <row r="784" spans="3:3" x14ac:dyDescent="0.3">
      <c r="C784">
        <v>784</v>
      </c>
    </row>
    <row r="785" spans="3:3" x14ac:dyDescent="0.3">
      <c r="C785">
        <v>785</v>
      </c>
    </row>
    <row r="786" spans="3:3" x14ac:dyDescent="0.3">
      <c r="C786">
        <v>786</v>
      </c>
    </row>
    <row r="787" spans="3:3" x14ac:dyDescent="0.3">
      <c r="C787">
        <v>787</v>
      </c>
    </row>
    <row r="788" spans="3:3" x14ac:dyDescent="0.3">
      <c r="C788">
        <v>788</v>
      </c>
    </row>
    <row r="789" spans="3:3" x14ac:dyDescent="0.3">
      <c r="C789">
        <v>789</v>
      </c>
    </row>
    <row r="790" spans="3:3" x14ac:dyDescent="0.3">
      <c r="C790">
        <v>790</v>
      </c>
    </row>
    <row r="791" spans="3:3" x14ac:dyDescent="0.3">
      <c r="C791">
        <v>791</v>
      </c>
    </row>
    <row r="792" spans="3:3" x14ac:dyDescent="0.3">
      <c r="C792">
        <v>792</v>
      </c>
    </row>
    <row r="793" spans="3:3" x14ac:dyDescent="0.3">
      <c r="C793">
        <v>793</v>
      </c>
    </row>
    <row r="794" spans="3:3" x14ac:dyDescent="0.3">
      <c r="C794">
        <v>794</v>
      </c>
    </row>
    <row r="795" spans="3:3" x14ac:dyDescent="0.3">
      <c r="C795">
        <v>795</v>
      </c>
    </row>
    <row r="796" spans="3:3" x14ac:dyDescent="0.3">
      <c r="C796">
        <v>796</v>
      </c>
    </row>
    <row r="797" spans="3:3" x14ac:dyDescent="0.3">
      <c r="C797">
        <v>797</v>
      </c>
    </row>
    <row r="798" spans="3:3" x14ac:dyDescent="0.3">
      <c r="C798">
        <v>798</v>
      </c>
    </row>
    <row r="799" spans="3:3" x14ac:dyDescent="0.3">
      <c r="C799">
        <v>799</v>
      </c>
    </row>
    <row r="800" spans="3:3" x14ac:dyDescent="0.3">
      <c r="C800">
        <v>800</v>
      </c>
    </row>
    <row r="801" spans="3:3" x14ac:dyDescent="0.3">
      <c r="C801">
        <v>801</v>
      </c>
    </row>
    <row r="802" spans="3:3" x14ac:dyDescent="0.3">
      <c r="C802">
        <v>802</v>
      </c>
    </row>
    <row r="803" spans="3:3" x14ac:dyDescent="0.3">
      <c r="C803">
        <v>803</v>
      </c>
    </row>
    <row r="804" spans="3:3" x14ac:dyDescent="0.3">
      <c r="C804">
        <v>804</v>
      </c>
    </row>
    <row r="805" spans="3:3" x14ac:dyDescent="0.3">
      <c r="C805">
        <v>805</v>
      </c>
    </row>
    <row r="806" spans="3:3" x14ac:dyDescent="0.3">
      <c r="C806">
        <v>806</v>
      </c>
    </row>
    <row r="807" spans="3:3" x14ac:dyDescent="0.3">
      <c r="C807">
        <v>807</v>
      </c>
    </row>
    <row r="808" spans="3:3" x14ac:dyDescent="0.3">
      <c r="C808">
        <v>808</v>
      </c>
    </row>
    <row r="809" spans="3:3" x14ac:dyDescent="0.3">
      <c r="C809">
        <v>809</v>
      </c>
    </row>
    <row r="810" spans="3:3" x14ac:dyDescent="0.3">
      <c r="C810">
        <v>810</v>
      </c>
    </row>
    <row r="811" spans="3:3" x14ac:dyDescent="0.3">
      <c r="C811">
        <v>811</v>
      </c>
    </row>
    <row r="812" spans="3:3" x14ac:dyDescent="0.3">
      <c r="C812">
        <v>812</v>
      </c>
    </row>
    <row r="813" spans="3:3" x14ac:dyDescent="0.3">
      <c r="C813">
        <v>813</v>
      </c>
    </row>
    <row r="814" spans="3:3" x14ac:dyDescent="0.3">
      <c r="C814">
        <v>814</v>
      </c>
    </row>
    <row r="815" spans="3:3" x14ac:dyDescent="0.3">
      <c r="C815">
        <v>815</v>
      </c>
    </row>
    <row r="816" spans="3:3" x14ac:dyDescent="0.3">
      <c r="C816">
        <v>816</v>
      </c>
    </row>
    <row r="817" spans="3:3" x14ac:dyDescent="0.3">
      <c r="C817">
        <v>817</v>
      </c>
    </row>
    <row r="818" spans="3:3" x14ac:dyDescent="0.3">
      <c r="C818">
        <v>818</v>
      </c>
    </row>
    <row r="819" spans="3:3" x14ac:dyDescent="0.3">
      <c r="C819">
        <v>819</v>
      </c>
    </row>
    <row r="820" spans="3:3" x14ac:dyDescent="0.3">
      <c r="C820">
        <v>820</v>
      </c>
    </row>
    <row r="821" spans="3:3" x14ac:dyDescent="0.3">
      <c r="C821">
        <v>821</v>
      </c>
    </row>
    <row r="822" spans="3:3" x14ac:dyDescent="0.3">
      <c r="C822">
        <v>822</v>
      </c>
    </row>
    <row r="823" spans="3:3" x14ac:dyDescent="0.3">
      <c r="C823">
        <v>823</v>
      </c>
    </row>
    <row r="824" spans="3:3" x14ac:dyDescent="0.3">
      <c r="C824">
        <v>824</v>
      </c>
    </row>
    <row r="825" spans="3:3" x14ac:dyDescent="0.3">
      <c r="C825">
        <v>825</v>
      </c>
    </row>
    <row r="826" spans="3:3" x14ac:dyDescent="0.3">
      <c r="C826">
        <v>826</v>
      </c>
    </row>
    <row r="827" spans="3:3" x14ac:dyDescent="0.3">
      <c r="C827">
        <v>827</v>
      </c>
    </row>
    <row r="828" spans="3:3" x14ac:dyDescent="0.3">
      <c r="C828">
        <v>828</v>
      </c>
    </row>
    <row r="829" spans="3:3" x14ac:dyDescent="0.3">
      <c r="C829">
        <v>829</v>
      </c>
    </row>
    <row r="830" spans="3:3" x14ac:dyDescent="0.3">
      <c r="C830">
        <v>830</v>
      </c>
    </row>
    <row r="831" spans="3:3" x14ac:dyDescent="0.3">
      <c r="C831">
        <v>831</v>
      </c>
    </row>
    <row r="832" spans="3:3" x14ac:dyDescent="0.3">
      <c r="C832">
        <v>832</v>
      </c>
    </row>
    <row r="833" spans="3:3" x14ac:dyDescent="0.3">
      <c r="C833">
        <v>833</v>
      </c>
    </row>
    <row r="834" spans="3:3" x14ac:dyDescent="0.3">
      <c r="C834">
        <v>834</v>
      </c>
    </row>
    <row r="835" spans="3:3" x14ac:dyDescent="0.3">
      <c r="C835">
        <v>835</v>
      </c>
    </row>
    <row r="836" spans="3:3" x14ac:dyDescent="0.3">
      <c r="C836">
        <v>836</v>
      </c>
    </row>
    <row r="837" spans="3:3" x14ac:dyDescent="0.3">
      <c r="C837">
        <v>837</v>
      </c>
    </row>
    <row r="838" spans="3:3" x14ac:dyDescent="0.3">
      <c r="C838">
        <v>838</v>
      </c>
    </row>
    <row r="839" spans="3:3" x14ac:dyDescent="0.3">
      <c r="C839">
        <v>839</v>
      </c>
    </row>
    <row r="840" spans="3:3" x14ac:dyDescent="0.3">
      <c r="C840">
        <v>840</v>
      </c>
    </row>
    <row r="841" spans="3:3" x14ac:dyDescent="0.3">
      <c r="C841">
        <v>841</v>
      </c>
    </row>
    <row r="842" spans="3:3" x14ac:dyDescent="0.3">
      <c r="C842">
        <v>842</v>
      </c>
    </row>
    <row r="843" spans="3:3" x14ac:dyDescent="0.3">
      <c r="C843">
        <v>843</v>
      </c>
    </row>
    <row r="844" spans="3:3" x14ac:dyDescent="0.3">
      <c r="C844">
        <v>844</v>
      </c>
    </row>
    <row r="845" spans="3:3" x14ac:dyDescent="0.3">
      <c r="C845">
        <v>845</v>
      </c>
    </row>
    <row r="846" spans="3:3" x14ac:dyDescent="0.3">
      <c r="C846">
        <v>846</v>
      </c>
    </row>
    <row r="847" spans="3:3" x14ac:dyDescent="0.3">
      <c r="C847">
        <v>847</v>
      </c>
    </row>
    <row r="848" spans="3:3" x14ac:dyDescent="0.3">
      <c r="C848">
        <v>848</v>
      </c>
    </row>
    <row r="849" spans="3:3" x14ac:dyDescent="0.3">
      <c r="C849">
        <v>849</v>
      </c>
    </row>
    <row r="850" spans="3:3" x14ac:dyDescent="0.3">
      <c r="C850">
        <v>850</v>
      </c>
    </row>
    <row r="851" spans="3:3" x14ac:dyDescent="0.3">
      <c r="C851">
        <v>851</v>
      </c>
    </row>
    <row r="852" spans="3:3" x14ac:dyDescent="0.3">
      <c r="C852">
        <v>852</v>
      </c>
    </row>
    <row r="853" spans="3:3" x14ac:dyDescent="0.3">
      <c r="C853">
        <v>853</v>
      </c>
    </row>
    <row r="854" spans="3:3" x14ac:dyDescent="0.3">
      <c r="C854">
        <v>854</v>
      </c>
    </row>
    <row r="855" spans="3:3" x14ac:dyDescent="0.3">
      <c r="C855">
        <v>855</v>
      </c>
    </row>
    <row r="856" spans="3:3" x14ac:dyDescent="0.3">
      <c r="C856">
        <v>856</v>
      </c>
    </row>
    <row r="857" spans="3:3" x14ac:dyDescent="0.3">
      <c r="C857">
        <v>857</v>
      </c>
    </row>
    <row r="858" spans="3:3" x14ac:dyDescent="0.3">
      <c r="C858">
        <v>858</v>
      </c>
    </row>
    <row r="859" spans="3:3" x14ac:dyDescent="0.3">
      <c r="C859">
        <v>859</v>
      </c>
    </row>
    <row r="860" spans="3:3" x14ac:dyDescent="0.3">
      <c r="C860">
        <v>860</v>
      </c>
    </row>
    <row r="861" spans="3:3" x14ac:dyDescent="0.3">
      <c r="C861">
        <v>861</v>
      </c>
    </row>
    <row r="862" spans="3:3" x14ac:dyDescent="0.3">
      <c r="C862">
        <v>862</v>
      </c>
    </row>
    <row r="863" spans="3:3" x14ac:dyDescent="0.3">
      <c r="C863">
        <v>863</v>
      </c>
    </row>
    <row r="864" spans="3:3" x14ac:dyDescent="0.3">
      <c r="C864">
        <v>864</v>
      </c>
    </row>
    <row r="865" spans="3:3" x14ac:dyDescent="0.3">
      <c r="C865">
        <v>865</v>
      </c>
    </row>
    <row r="866" spans="3:3" x14ac:dyDescent="0.3">
      <c r="C866">
        <v>866</v>
      </c>
    </row>
    <row r="867" spans="3:3" x14ac:dyDescent="0.3">
      <c r="C867">
        <v>867</v>
      </c>
    </row>
    <row r="868" spans="3:3" x14ac:dyDescent="0.3">
      <c r="C868">
        <v>868</v>
      </c>
    </row>
    <row r="869" spans="3:3" x14ac:dyDescent="0.3">
      <c r="C869">
        <v>869</v>
      </c>
    </row>
    <row r="870" spans="3:3" x14ac:dyDescent="0.3">
      <c r="C870">
        <v>870</v>
      </c>
    </row>
    <row r="871" spans="3:3" x14ac:dyDescent="0.3">
      <c r="C871">
        <v>871</v>
      </c>
    </row>
    <row r="872" spans="3:3" x14ac:dyDescent="0.3">
      <c r="C872">
        <v>872</v>
      </c>
    </row>
    <row r="873" spans="3:3" x14ac:dyDescent="0.3">
      <c r="C873">
        <v>873</v>
      </c>
    </row>
    <row r="874" spans="3:3" x14ac:dyDescent="0.3">
      <c r="C874">
        <v>874</v>
      </c>
    </row>
    <row r="875" spans="3:3" x14ac:dyDescent="0.3">
      <c r="C875">
        <v>875</v>
      </c>
    </row>
    <row r="876" spans="3:3" x14ac:dyDescent="0.3">
      <c r="C876">
        <v>876</v>
      </c>
    </row>
    <row r="877" spans="3:3" x14ac:dyDescent="0.3">
      <c r="C877">
        <v>877</v>
      </c>
    </row>
    <row r="878" spans="3:3" x14ac:dyDescent="0.3">
      <c r="C878">
        <v>878</v>
      </c>
    </row>
    <row r="879" spans="3:3" x14ac:dyDescent="0.3">
      <c r="C879">
        <v>879</v>
      </c>
    </row>
    <row r="880" spans="3:3" x14ac:dyDescent="0.3">
      <c r="C880">
        <v>880</v>
      </c>
    </row>
    <row r="881" spans="3:3" x14ac:dyDescent="0.3">
      <c r="C881">
        <v>881</v>
      </c>
    </row>
    <row r="882" spans="3:3" x14ac:dyDescent="0.3">
      <c r="C882">
        <v>882</v>
      </c>
    </row>
    <row r="883" spans="3:3" x14ac:dyDescent="0.3">
      <c r="C883">
        <v>883</v>
      </c>
    </row>
    <row r="884" spans="3:3" x14ac:dyDescent="0.3">
      <c r="C884">
        <v>884</v>
      </c>
    </row>
    <row r="885" spans="3:3" x14ac:dyDescent="0.3">
      <c r="C885">
        <v>885</v>
      </c>
    </row>
    <row r="886" spans="3:3" x14ac:dyDescent="0.3">
      <c r="C886">
        <v>886</v>
      </c>
    </row>
    <row r="887" spans="3:3" x14ac:dyDescent="0.3">
      <c r="C887">
        <v>887</v>
      </c>
    </row>
    <row r="888" spans="3:3" x14ac:dyDescent="0.3">
      <c r="C888">
        <v>888</v>
      </c>
    </row>
    <row r="889" spans="3:3" x14ac:dyDescent="0.3">
      <c r="C889">
        <v>889</v>
      </c>
    </row>
    <row r="890" spans="3:3" x14ac:dyDescent="0.3">
      <c r="C890">
        <v>890</v>
      </c>
    </row>
    <row r="891" spans="3:3" x14ac:dyDescent="0.3">
      <c r="C891">
        <v>891</v>
      </c>
    </row>
    <row r="892" spans="3:3" x14ac:dyDescent="0.3">
      <c r="C892">
        <v>892</v>
      </c>
    </row>
    <row r="893" spans="3:3" x14ac:dyDescent="0.3">
      <c r="C893">
        <v>893</v>
      </c>
    </row>
    <row r="894" spans="3:3" x14ac:dyDescent="0.3">
      <c r="C894">
        <v>894</v>
      </c>
    </row>
    <row r="895" spans="3:3" x14ac:dyDescent="0.3">
      <c r="C895">
        <v>895</v>
      </c>
    </row>
    <row r="896" spans="3:3" x14ac:dyDescent="0.3">
      <c r="C896">
        <v>896</v>
      </c>
    </row>
    <row r="897" spans="3:3" x14ac:dyDescent="0.3">
      <c r="C897">
        <v>897</v>
      </c>
    </row>
    <row r="898" spans="3:3" x14ac:dyDescent="0.3">
      <c r="C898">
        <v>898</v>
      </c>
    </row>
    <row r="899" spans="3:3" x14ac:dyDescent="0.3">
      <c r="C899">
        <v>899</v>
      </c>
    </row>
    <row r="900" spans="3:3" x14ac:dyDescent="0.3">
      <c r="C900">
        <v>900</v>
      </c>
    </row>
    <row r="901" spans="3:3" x14ac:dyDescent="0.3">
      <c r="C901">
        <v>901</v>
      </c>
    </row>
    <row r="902" spans="3:3" x14ac:dyDescent="0.3">
      <c r="C902">
        <v>902</v>
      </c>
    </row>
    <row r="903" spans="3:3" x14ac:dyDescent="0.3">
      <c r="C903">
        <v>903</v>
      </c>
    </row>
    <row r="904" spans="3:3" x14ac:dyDescent="0.3">
      <c r="C904">
        <v>904</v>
      </c>
    </row>
    <row r="905" spans="3:3" x14ac:dyDescent="0.3">
      <c r="C905">
        <v>905</v>
      </c>
    </row>
    <row r="906" spans="3:3" x14ac:dyDescent="0.3">
      <c r="C906">
        <v>906</v>
      </c>
    </row>
    <row r="907" spans="3:3" x14ac:dyDescent="0.3">
      <c r="C907">
        <v>907</v>
      </c>
    </row>
    <row r="908" spans="3:3" x14ac:dyDescent="0.3">
      <c r="C908">
        <v>908</v>
      </c>
    </row>
    <row r="909" spans="3:3" x14ac:dyDescent="0.3">
      <c r="C909">
        <v>909</v>
      </c>
    </row>
    <row r="910" spans="3:3" x14ac:dyDescent="0.3">
      <c r="C910">
        <v>910</v>
      </c>
    </row>
    <row r="911" spans="3:3" x14ac:dyDescent="0.3">
      <c r="C911">
        <v>911</v>
      </c>
    </row>
    <row r="912" spans="3:3" x14ac:dyDescent="0.3">
      <c r="C912">
        <v>912</v>
      </c>
    </row>
    <row r="913" spans="3:3" x14ac:dyDescent="0.3">
      <c r="C913">
        <v>913</v>
      </c>
    </row>
    <row r="914" spans="3:3" x14ac:dyDescent="0.3">
      <c r="C914">
        <v>914</v>
      </c>
    </row>
    <row r="915" spans="3:3" x14ac:dyDescent="0.3">
      <c r="C915">
        <v>915</v>
      </c>
    </row>
    <row r="916" spans="3:3" x14ac:dyDescent="0.3">
      <c r="C916">
        <v>916</v>
      </c>
    </row>
    <row r="917" spans="3:3" x14ac:dyDescent="0.3">
      <c r="C917">
        <v>917</v>
      </c>
    </row>
    <row r="918" spans="3:3" x14ac:dyDescent="0.3">
      <c r="C918">
        <v>918</v>
      </c>
    </row>
    <row r="919" spans="3:3" x14ac:dyDescent="0.3">
      <c r="C919">
        <v>919</v>
      </c>
    </row>
    <row r="920" spans="3:3" x14ac:dyDescent="0.3">
      <c r="C920">
        <v>920</v>
      </c>
    </row>
    <row r="921" spans="3:3" x14ac:dyDescent="0.3">
      <c r="C921">
        <v>921</v>
      </c>
    </row>
    <row r="922" spans="3:3" x14ac:dyDescent="0.3">
      <c r="C922">
        <v>922</v>
      </c>
    </row>
    <row r="923" spans="3:3" x14ac:dyDescent="0.3">
      <c r="C923">
        <v>923</v>
      </c>
    </row>
    <row r="924" spans="3:3" x14ac:dyDescent="0.3">
      <c r="C924">
        <v>924</v>
      </c>
    </row>
    <row r="925" spans="3:3" x14ac:dyDescent="0.3">
      <c r="C925">
        <v>925</v>
      </c>
    </row>
    <row r="926" spans="3:3" x14ac:dyDescent="0.3">
      <c r="C926">
        <v>926</v>
      </c>
    </row>
    <row r="927" spans="3:3" x14ac:dyDescent="0.3">
      <c r="C927">
        <v>927</v>
      </c>
    </row>
    <row r="928" spans="3:3" x14ac:dyDescent="0.3">
      <c r="C928">
        <v>928</v>
      </c>
    </row>
    <row r="929" spans="3:3" x14ac:dyDescent="0.3">
      <c r="C929">
        <v>929</v>
      </c>
    </row>
    <row r="930" spans="3:3" x14ac:dyDescent="0.3">
      <c r="C930">
        <v>930</v>
      </c>
    </row>
    <row r="931" spans="3:3" x14ac:dyDescent="0.3">
      <c r="C931">
        <v>931</v>
      </c>
    </row>
    <row r="932" spans="3:3" x14ac:dyDescent="0.3">
      <c r="C932">
        <v>932</v>
      </c>
    </row>
    <row r="933" spans="3:3" x14ac:dyDescent="0.3">
      <c r="C933">
        <v>933</v>
      </c>
    </row>
    <row r="934" spans="3:3" x14ac:dyDescent="0.3">
      <c r="C934">
        <v>934</v>
      </c>
    </row>
    <row r="935" spans="3:3" x14ac:dyDescent="0.3">
      <c r="C935">
        <v>935</v>
      </c>
    </row>
    <row r="936" spans="3:3" x14ac:dyDescent="0.3">
      <c r="C936">
        <v>936</v>
      </c>
    </row>
    <row r="937" spans="3:3" x14ac:dyDescent="0.3">
      <c r="C937">
        <v>937</v>
      </c>
    </row>
    <row r="938" spans="3:3" x14ac:dyDescent="0.3">
      <c r="C938">
        <v>938</v>
      </c>
    </row>
    <row r="939" spans="3:3" x14ac:dyDescent="0.3">
      <c r="C939">
        <v>939</v>
      </c>
    </row>
    <row r="940" spans="3:3" x14ac:dyDescent="0.3">
      <c r="C940">
        <v>940</v>
      </c>
    </row>
    <row r="941" spans="3:3" x14ac:dyDescent="0.3">
      <c r="C941">
        <v>941</v>
      </c>
    </row>
    <row r="942" spans="3:3" x14ac:dyDescent="0.3">
      <c r="C942">
        <v>942</v>
      </c>
    </row>
    <row r="943" spans="3:3" x14ac:dyDescent="0.3">
      <c r="C943">
        <v>943</v>
      </c>
    </row>
    <row r="944" spans="3:3" x14ac:dyDescent="0.3">
      <c r="C944">
        <v>944</v>
      </c>
    </row>
    <row r="945" spans="3:3" x14ac:dyDescent="0.3">
      <c r="C945">
        <v>945</v>
      </c>
    </row>
    <row r="946" spans="3:3" x14ac:dyDescent="0.3">
      <c r="C946">
        <v>946</v>
      </c>
    </row>
    <row r="947" spans="3:3" x14ac:dyDescent="0.3">
      <c r="C947">
        <v>947</v>
      </c>
    </row>
    <row r="948" spans="3:3" x14ac:dyDescent="0.3">
      <c r="C948">
        <v>948</v>
      </c>
    </row>
    <row r="949" spans="3:3" x14ac:dyDescent="0.3">
      <c r="C949">
        <v>949</v>
      </c>
    </row>
    <row r="950" spans="3:3" x14ac:dyDescent="0.3">
      <c r="C950">
        <v>950</v>
      </c>
    </row>
    <row r="951" spans="3:3" x14ac:dyDescent="0.3">
      <c r="C951">
        <v>951</v>
      </c>
    </row>
    <row r="952" spans="3:3" x14ac:dyDescent="0.3">
      <c r="C952">
        <v>952</v>
      </c>
    </row>
    <row r="953" spans="3:3" x14ac:dyDescent="0.3">
      <c r="C953">
        <v>953</v>
      </c>
    </row>
    <row r="954" spans="3:3" x14ac:dyDescent="0.3">
      <c r="C954">
        <v>954</v>
      </c>
    </row>
    <row r="955" spans="3:3" x14ac:dyDescent="0.3">
      <c r="C955">
        <v>955</v>
      </c>
    </row>
    <row r="956" spans="3:3" x14ac:dyDescent="0.3">
      <c r="C956">
        <v>956</v>
      </c>
    </row>
    <row r="957" spans="3:3" x14ac:dyDescent="0.3">
      <c r="C957">
        <v>957</v>
      </c>
    </row>
    <row r="958" spans="3:3" x14ac:dyDescent="0.3">
      <c r="C958">
        <v>958</v>
      </c>
    </row>
    <row r="959" spans="3:3" x14ac:dyDescent="0.3">
      <c r="C959">
        <v>959</v>
      </c>
    </row>
    <row r="960" spans="3:3" x14ac:dyDescent="0.3">
      <c r="C960">
        <v>960</v>
      </c>
    </row>
    <row r="961" spans="3:3" x14ac:dyDescent="0.3">
      <c r="C961">
        <v>961</v>
      </c>
    </row>
    <row r="962" spans="3:3" x14ac:dyDescent="0.3">
      <c r="C962">
        <v>962</v>
      </c>
    </row>
    <row r="963" spans="3:3" x14ac:dyDescent="0.3">
      <c r="C963">
        <v>963</v>
      </c>
    </row>
    <row r="964" spans="3:3" x14ac:dyDescent="0.3">
      <c r="C964">
        <v>964</v>
      </c>
    </row>
    <row r="965" spans="3:3" x14ac:dyDescent="0.3">
      <c r="C965">
        <v>965</v>
      </c>
    </row>
    <row r="966" spans="3:3" x14ac:dyDescent="0.3">
      <c r="C966">
        <v>966</v>
      </c>
    </row>
    <row r="967" spans="3:3" x14ac:dyDescent="0.3">
      <c r="C967">
        <v>967</v>
      </c>
    </row>
    <row r="968" spans="3:3" x14ac:dyDescent="0.3">
      <c r="C968">
        <v>968</v>
      </c>
    </row>
    <row r="969" spans="3:3" x14ac:dyDescent="0.3">
      <c r="C969">
        <v>969</v>
      </c>
    </row>
    <row r="970" spans="3:3" x14ac:dyDescent="0.3">
      <c r="C970">
        <v>970</v>
      </c>
    </row>
    <row r="971" spans="3:3" x14ac:dyDescent="0.3">
      <c r="C971">
        <v>971</v>
      </c>
    </row>
    <row r="972" spans="3:3" x14ac:dyDescent="0.3">
      <c r="C972">
        <v>972</v>
      </c>
    </row>
    <row r="973" spans="3:3" x14ac:dyDescent="0.3">
      <c r="C973">
        <v>973</v>
      </c>
    </row>
    <row r="974" spans="3:3" x14ac:dyDescent="0.3">
      <c r="C974">
        <v>974</v>
      </c>
    </row>
    <row r="975" spans="3:3" x14ac:dyDescent="0.3">
      <c r="C975">
        <v>975</v>
      </c>
    </row>
    <row r="976" spans="3:3" x14ac:dyDescent="0.3">
      <c r="C976">
        <v>976</v>
      </c>
    </row>
    <row r="977" spans="3:3" x14ac:dyDescent="0.3">
      <c r="C977">
        <v>977</v>
      </c>
    </row>
    <row r="978" spans="3:3" x14ac:dyDescent="0.3">
      <c r="C978">
        <v>978</v>
      </c>
    </row>
    <row r="979" spans="3:3" x14ac:dyDescent="0.3">
      <c r="C979">
        <v>979</v>
      </c>
    </row>
    <row r="980" spans="3:3" x14ac:dyDescent="0.3">
      <c r="C980">
        <v>980</v>
      </c>
    </row>
    <row r="981" spans="3:3" x14ac:dyDescent="0.3">
      <c r="C981">
        <v>981</v>
      </c>
    </row>
    <row r="982" spans="3:3" x14ac:dyDescent="0.3">
      <c r="C982">
        <v>982</v>
      </c>
    </row>
    <row r="983" spans="3:3" x14ac:dyDescent="0.3">
      <c r="C983">
        <v>983</v>
      </c>
    </row>
    <row r="984" spans="3:3" x14ac:dyDescent="0.3">
      <c r="C984">
        <v>984</v>
      </c>
    </row>
    <row r="985" spans="3:3" x14ac:dyDescent="0.3">
      <c r="C985">
        <v>985</v>
      </c>
    </row>
    <row r="986" spans="3:3" x14ac:dyDescent="0.3">
      <c r="C986">
        <v>986</v>
      </c>
    </row>
    <row r="987" spans="3:3" x14ac:dyDescent="0.3">
      <c r="C987">
        <v>987</v>
      </c>
    </row>
    <row r="988" spans="3:3" x14ac:dyDescent="0.3">
      <c r="C988">
        <v>988</v>
      </c>
    </row>
    <row r="989" spans="3:3" x14ac:dyDescent="0.3">
      <c r="C989">
        <v>989</v>
      </c>
    </row>
    <row r="990" spans="3:3" x14ac:dyDescent="0.3">
      <c r="C990">
        <v>990</v>
      </c>
    </row>
    <row r="991" spans="3:3" x14ac:dyDescent="0.3">
      <c r="C991">
        <v>991</v>
      </c>
    </row>
    <row r="992" spans="3:3" x14ac:dyDescent="0.3">
      <c r="C992">
        <v>992</v>
      </c>
    </row>
    <row r="993" spans="3:3" x14ac:dyDescent="0.3">
      <c r="C993">
        <v>993</v>
      </c>
    </row>
    <row r="994" spans="3:3" x14ac:dyDescent="0.3">
      <c r="C994">
        <v>994</v>
      </c>
    </row>
    <row r="995" spans="3:3" x14ac:dyDescent="0.3">
      <c r="C995">
        <v>995</v>
      </c>
    </row>
    <row r="996" spans="3:3" x14ac:dyDescent="0.3">
      <c r="C996">
        <v>996</v>
      </c>
    </row>
    <row r="997" spans="3:3" x14ac:dyDescent="0.3">
      <c r="C997">
        <v>997</v>
      </c>
    </row>
    <row r="998" spans="3:3" x14ac:dyDescent="0.3">
      <c r="C998">
        <v>998</v>
      </c>
    </row>
    <row r="999" spans="3:3" x14ac:dyDescent="0.3">
      <c r="C999">
        <v>999</v>
      </c>
    </row>
    <row r="1000" spans="3:3" x14ac:dyDescent="0.3">
      <c r="C1000">
        <v>1000</v>
      </c>
    </row>
    <row r="1001" spans="3:3" x14ac:dyDescent="0.3">
      <c r="C1001">
        <v>1001</v>
      </c>
    </row>
    <row r="1002" spans="3:3" x14ac:dyDescent="0.3">
      <c r="C1002">
        <v>1002</v>
      </c>
    </row>
    <row r="1003" spans="3:3" x14ac:dyDescent="0.3">
      <c r="C1003">
        <v>1003</v>
      </c>
    </row>
    <row r="1004" spans="3:3" x14ac:dyDescent="0.3">
      <c r="C1004">
        <v>1004</v>
      </c>
    </row>
    <row r="1005" spans="3:3" x14ac:dyDescent="0.3">
      <c r="C1005">
        <v>1005</v>
      </c>
    </row>
    <row r="1006" spans="3:3" x14ac:dyDescent="0.3">
      <c r="C1006">
        <v>1006</v>
      </c>
    </row>
    <row r="1007" spans="3:3" x14ac:dyDescent="0.3">
      <c r="C1007">
        <v>1007</v>
      </c>
    </row>
    <row r="1008" spans="3:3" x14ac:dyDescent="0.3">
      <c r="C1008">
        <v>1008</v>
      </c>
    </row>
    <row r="1009" spans="3:3" x14ac:dyDescent="0.3">
      <c r="C1009">
        <v>1009</v>
      </c>
    </row>
    <row r="1010" spans="3:3" x14ac:dyDescent="0.3">
      <c r="C1010">
        <v>1010</v>
      </c>
    </row>
    <row r="1011" spans="3:3" x14ac:dyDescent="0.3">
      <c r="C1011">
        <v>1011</v>
      </c>
    </row>
    <row r="1012" spans="3:3" x14ac:dyDescent="0.3">
      <c r="C1012">
        <v>1012</v>
      </c>
    </row>
    <row r="1013" spans="3:3" x14ac:dyDescent="0.3">
      <c r="C1013">
        <v>1013</v>
      </c>
    </row>
    <row r="1014" spans="3:3" x14ac:dyDescent="0.3">
      <c r="C1014">
        <v>1014</v>
      </c>
    </row>
    <row r="1015" spans="3:3" x14ac:dyDescent="0.3">
      <c r="C1015">
        <v>1015</v>
      </c>
    </row>
    <row r="1016" spans="3:3" x14ac:dyDescent="0.3">
      <c r="C1016">
        <v>1016</v>
      </c>
    </row>
    <row r="1017" spans="3:3" x14ac:dyDescent="0.3">
      <c r="C1017">
        <v>1017</v>
      </c>
    </row>
    <row r="1018" spans="3:3" x14ac:dyDescent="0.3">
      <c r="C1018">
        <v>1018</v>
      </c>
    </row>
    <row r="1019" spans="3:3" x14ac:dyDescent="0.3">
      <c r="C1019">
        <v>1019</v>
      </c>
    </row>
    <row r="1020" spans="3:3" x14ac:dyDescent="0.3">
      <c r="C1020">
        <v>1020</v>
      </c>
    </row>
    <row r="1021" spans="3:3" x14ac:dyDescent="0.3">
      <c r="C1021">
        <v>1021</v>
      </c>
    </row>
    <row r="1022" spans="3:3" x14ac:dyDescent="0.3">
      <c r="C1022">
        <v>1022</v>
      </c>
    </row>
    <row r="1023" spans="3:3" x14ac:dyDescent="0.3">
      <c r="C1023">
        <v>1023</v>
      </c>
    </row>
    <row r="1024" spans="3:3" x14ac:dyDescent="0.3">
      <c r="C1024">
        <v>1024</v>
      </c>
    </row>
    <row r="1025" spans="3:3" x14ac:dyDescent="0.3">
      <c r="C1025">
        <v>1025</v>
      </c>
    </row>
    <row r="1026" spans="3:3" x14ac:dyDescent="0.3">
      <c r="C1026">
        <v>1026</v>
      </c>
    </row>
    <row r="1027" spans="3:3" x14ac:dyDescent="0.3">
      <c r="C1027">
        <v>1027</v>
      </c>
    </row>
    <row r="1028" spans="3:3" x14ac:dyDescent="0.3">
      <c r="C1028">
        <v>1028</v>
      </c>
    </row>
    <row r="1029" spans="3:3" x14ac:dyDescent="0.3">
      <c r="C1029">
        <v>1029</v>
      </c>
    </row>
    <row r="1030" spans="3:3" x14ac:dyDescent="0.3">
      <c r="C1030">
        <v>1030</v>
      </c>
    </row>
    <row r="1031" spans="3:3" x14ac:dyDescent="0.3">
      <c r="C1031">
        <v>1031</v>
      </c>
    </row>
    <row r="1032" spans="3:3" x14ac:dyDescent="0.3">
      <c r="C1032">
        <v>1032</v>
      </c>
    </row>
    <row r="1033" spans="3:3" x14ac:dyDescent="0.3">
      <c r="C1033">
        <v>1033</v>
      </c>
    </row>
    <row r="1034" spans="3:3" x14ac:dyDescent="0.3">
      <c r="C1034">
        <v>1034</v>
      </c>
    </row>
    <row r="1035" spans="3:3" x14ac:dyDescent="0.3">
      <c r="C1035">
        <v>1035</v>
      </c>
    </row>
    <row r="1036" spans="3:3" x14ac:dyDescent="0.3">
      <c r="C1036">
        <v>1036</v>
      </c>
    </row>
    <row r="1037" spans="3:3" x14ac:dyDescent="0.3">
      <c r="C1037">
        <v>1037</v>
      </c>
    </row>
    <row r="1038" spans="3:3" x14ac:dyDescent="0.3">
      <c r="C1038">
        <v>1038</v>
      </c>
    </row>
    <row r="1039" spans="3:3" x14ac:dyDescent="0.3">
      <c r="C1039">
        <v>1039</v>
      </c>
    </row>
    <row r="1040" spans="3:3" x14ac:dyDescent="0.3">
      <c r="C1040">
        <v>1040</v>
      </c>
    </row>
    <row r="1041" spans="3:3" x14ac:dyDescent="0.3">
      <c r="C1041">
        <v>1041</v>
      </c>
    </row>
    <row r="1042" spans="3:3" x14ac:dyDescent="0.3">
      <c r="C1042">
        <v>1042</v>
      </c>
    </row>
    <row r="1043" spans="3:3" x14ac:dyDescent="0.3">
      <c r="C1043">
        <v>1043</v>
      </c>
    </row>
    <row r="1044" spans="3:3" x14ac:dyDescent="0.3">
      <c r="C1044">
        <v>1044</v>
      </c>
    </row>
    <row r="1045" spans="3:3" x14ac:dyDescent="0.3">
      <c r="C1045">
        <v>1045</v>
      </c>
    </row>
    <row r="1046" spans="3:3" x14ac:dyDescent="0.3">
      <c r="C1046">
        <v>1046</v>
      </c>
    </row>
    <row r="1047" spans="3:3" x14ac:dyDescent="0.3">
      <c r="C1047">
        <v>1047</v>
      </c>
    </row>
    <row r="1048" spans="3:3" x14ac:dyDescent="0.3">
      <c r="C1048">
        <v>1048</v>
      </c>
    </row>
    <row r="1049" spans="3:3" x14ac:dyDescent="0.3">
      <c r="C1049">
        <v>1049</v>
      </c>
    </row>
    <row r="1050" spans="3:3" x14ac:dyDescent="0.3">
      <c r="C1050">
        <v>1050</v>
      </c>
    </row>
    <row r="1051" spans="3:3" x14ac:dyDescent="0.3">
      <c r="C1051">
        <v>1051</v>
      </c>
    </row>
    <row r="1052" spans="3:3" x14ac:dyDescent="0.3">
      <c r="C1052">
        <v>1052</v>
      </c>
    </row>
    <row r="1053" spans="3:3" x14ac:dyDescent="0.3">
      <c r="C1053">
        <v>1053</v>
      </c>
    </row>
    <row r="1054" spans="3:3" x14ac:dyDescent="0.3">
      <c r="C1054">
        <v>1054</v>
      </c>
    </row>
    <row r="1055" spans="3:3" x14ac:dyDescent="0.3">
      <c r="C1055">
        <v>1055</v>
      </c>
    </row>
    <row r="1056" spans="3:3" x14ac:dyDescent="0.3">
      <c r="C1056">
        <v>1056</v>
      </c>
    </row>
    <row r="1057" spans="3:3" x14ac:dyDescent="0.3">
      <c r="C1057">
        <v>1057</v>
      </c>
    </row>
    <row r="1058" spans="3:3" x14ac:dyDescent="0.3">
      <c r="C1058">
        <v>1058</v>
      </c>
    </row>
    <row r="1059" spans="3:3" x14ac:dyDescent="0.3">
      <c r="C1059">
        <v>1059</v>
      </c>
    </row>
    <row r="1060" spans="3:3" x14ac:dyDescent="0.3">
      <c r="C1060">
        <v>1060</v>
      </c>
    </row>
    <row r="1061" spans="3:3" x14ac:dyDescent="0.3">
      <c r="C1061">
        <v>1061</v>
      </c>
    </row>
    <row r="1062" spans="3:3" x14ac:dyDescent="0.3">
      <c r="C1062">
        <v>1062</v>
      </c>
    </row>
    <row r="1063" spans="3:3" x14ac:dyDescent="0.3">
      <c r="C1063">
        <v>1063</v>
      </c>
    </row>
    <row r="1064" spans="3:3" x14ac:dyDescent="0.3">
      <c r="C1064">
        <v>1064</v>
      </c>
    </row>
    <row r="1065" spans="3:3" x14ac:dyDescent="0.3">
      <c r="C1065">
        <v>1065</v>
      </c>
    </row>
    <row r="1066" spans="3:3" x14ac:dyDescent="0.3">
      <c r="C1066">
        <v>1066</v>
      </c>
    </row>
    <row r="1067" spans="3:3" x14ac:dyDescent="0.3">
      <c r="C1067">
        <v>1067</v>
      </c>
    </row>
    <row r="1068" spans="3:3" x14ac:dyDescent="0.3">
      <c r="C1068">
        <v>1068</v>
      </c>
    </row>
    <row r="1069" spans="3:3" x14ac:dyDescent="0.3">
      <c r="C1069">
        <v>1069</v>
      </c>
    </row>
    <row r="1070" spans="3:3" x14ac:dyDescent="0.3">
      <c r="C1070">
        <v>1070</v>
      </c>
    </row>
    <row r="1071" spans="3:3" x14ac:dyDescent="0.3">
      <c r="C1071">
        <v>1071</v>
      </c>
    </row>
    <row r="1072" spans="3:3" x14ac:dyDescent="0.3">
      <c r="C1072">
        <v>1072</v>
      </c>
    </row>
    <row r="1073" spans="3:3" x14ac:dyDescent="0.3">
      <c r="C1073">
        <v>1073</v>
      </c>
    </row>
    <row r="1074" spans="3:3" x14ac:dyDescent="0.3">
      <c r="C1074">
        <v>1074</v>
      </c>
    </row>
    <row r="1075" spans="3:3" x14ac:dyDescent="0.3">
      <c r="C1075">
        <v>1075</v>
      </c>
    </row>
    <row r="1076" spans="3:3" x14ac:dyDescent="0.3">
      <c r="C1076">
        <v>1076</v>
      </c>
    </row>
    <row r="1077" spans="3:3" x14ac:dyDescent="0.3">
      <c r="C1077">
        <v>1077</v>
      </c>
    </row>
    <row r="1078" spans="3:3" x14ac:dyDescent="0.3">
      <c r="C1078">
        <v>1078</v>
      </c>
    </row>
    <row r="1079" spans="3:3" x14ac:dyDescent="0.3">
      <c r="C1079">
        <v>1079</v>
      </c>
    </row>
    <row r="1080" spans="3:3" x14ac:dyDescent="0.3">
      <c r="C1080">
        <v>1080</v>
      </c>
    </row>
    <row r="1081" spans="3:3" x14ac:dyDescent="0.3">
      <c r="C1081">
        <v>1081</v>
      </c>
    </row>
    <row r="1082" spans="3:3" x14ac:dyDescent="0.3">
      <c r="C1082">
        <v>1082</v>
      </c>
    </row>
    <row r="1083" spans="3:3" x14ac:dyDescent="0.3">
      <c r="C1083">
        <v>1083</v>
      </c>
    </row>
    <row r="1084" spans="3:3" x14ac:dyDescent="0.3">
      <c r="C1084">
        <v>1084</v>
      </c>
    </row>
    <row r="1085" spans="3:3" x14ac:dyDescent="0.3">
      <c r="C1085">
        <v>1085</v>
      </c>
    </row>
    <row r="1086" spans="3:3" x14ac:dyDescent="0.3">
      <c r="C1086">
        <v>1086</v>
      </c>
    </row>
    <row r="1087" spans="3:3" x14ac:dyDescent="0.3">
      <c r="C1087">
        <v>1087</v>
      </c>
    </row>
    <row r="1088" spans="3:3" x14ac:dyDescent="0.3">
      <c r="C1088">
        <v>1088</v>
      </c>
    </row>
    <row r="1089" spans="3:3" x14ac:dyDescent="0.3">
      <c r="C1089">
        <v>1089</v>
      </c>
    </row>
    <row r="1090" spans="3:3" x14ac:dyDescent="0.3">
      <c r="C1090">
        <v>1090</v>
      </c>
    </row>
    <row r="1091" spans="3:3" x14ac:dyDescent="0.3">
      <c r="C1091">
        <v>1091</v>
      </c>
    </row>
    <row r="1092" spans="3:3" x14ac:dyDescent="0.3">
      <c r="C1092">
        <v>1092</v>
      </c>
    </row>
    <row r="1093" spans="3:3" x14ac:dyDescent="0.3">
      <c r="C1093">
        <v>1093</v>
      </c>
    </row>
    <row r="1094" spans="3:3" x14ac:dyDescent="0.3">
      <c r="C1094">
        <v>1094</v>
      </c>
    </row>
    <row r="1095" spans="3:3" x14ac:dyDescent="0.3">
      <c r="C1095">
        <v>1095</v>
      </c>
    </row>
    <row r="1096" spans="3:3" x14ac:dyDescent="0.3">
      <c r="C1096">
        <v>1096</v>
      </c>
    </row>
    <row r="1097" spans="3:3" x14ac:dyDescent="0.3">
      <c r="C1097">
        <v>1097</v>
      </c>
    </row>
    <row r="1098" spans="3:3" x14ac:dyDescent="0.3">
      <c r="C1098">
        <v>1098</v>
      </c>
    </row>
    <row r="1099" spans="3:3" x14ac:dyDescent="0.3">
      <c r="C1099">
        <v>1099</v>
      </c>
    </row>
    <row r="1100" spans="3:3" x14ac:dyDescent="0.3">
      <c r="C1100">
        <v>1100</v>
      </c>
    </row>
    <row r="1101" spans="3:3" x14ac:dyDescent="0.3">
      <c r="C1101">
        <v>1101</v>
      </c>
    </row>
    <row r="1102" spans="3:3" x14ac:dyDescent="0.3">
      <c r="C1102">
        <v>1102</v>
      </c>
    </row>
    <row r="1103" spans="3:3" x14ac:dyDescent="0.3">
      <c r="C1103">
        <v>1103</v>
      </c>
    </row>
    <row r="1104" spans="3:3" x14ac:dyDescent="0.3">
      <c r="C1104">
        <v>1104</v>
      </c>
    </row>
    <row r="1105" spans="3:3" x14ac:dyDescent="0.3">
      <c r="C1105">
        <v>1105</v>
      </c>
    </row>
    <row r="1106" spans="3:3" x14ac:dyDescent="0.3">
      <c r="C1106">
        <v>1106</v>
      </c>
    </row>
    <row r="1107" spans="3:3" x14ac:dyDescent="0.3">
      <c r="C1107">
        <v>1107</v>
      </c>
    </row>
    <row r="1108" spans="3:3" x14ac:dyDescent="0.3">
      <c r="C1108">
        <v>1108</v>
      </c>
    </row>
    <row r="1109" spans="3:3" x14ac:dyDescent="0.3">
      <c r="C1109">
        <v>1109</v>
      </c>
    </row>
    <row r="1110" spans="3:3" x14ac:dyDescent="0.3">
      <c r="C1110">
        <v>1110</v>
      </c>
    </row>
    <row r="1111" spans="3:3" x14ac:dyDescent="0.3">
      <c r="C1111">
        <v>1111</v>
      </c>
    </row>
    <row r="1112" spans="3:3" x14ac:dyDescent="0.3">
      <c r="C1112">
        <v>1112</v>
      </c>
    </row>
    <row r="1113" spans="3:3" x14ac:dyDescent="0.3">
      <c r="C1113">
        <v>1113</v>
      </c>
    </row>
    <row r="1114" spans="3:3" x14ac:dyDescent="0.3">
      <c r="C1114">
        <v>1114</v>
      </c>
    </row>
    <row r="1115" spans="3:3" x14ac:dyDescent="0.3">
      <c r="C1115">
        <v>1115</v>
      </c>
    </row>
    <row r="1116" spans="3:3" x14ac:dyDescent="0.3">
      <c r="C1116">
        <v>1116</v>
      </c>
    </row>
    <row r="1117" spans="3:3" x14ac:dyDescent="0.3">
      <c r="C1117">
        <v>1117</v>
      </c>
    </row>
    <row r="1118" spans="3:3" x14ac:dyDescent="0.3">
      <c r="C1118">
        <v>1118</v>
      </c>
    </row>
    <row r="1119" spans="3:3" x14ac:dyDescent="0.3">
      <c r="C1119">
        <v>1119</v>
      </c>
    </row>
    <row r="1120" spans="3:3" x14ac:dyDescent="0.3">
      <c r="C1120">
        <v>1120</v>
      </c>
    </row>
    <row r="1121" spans="3:3" x14ac:dyDescent="0.3">
      <c r="C1121">
        <v>1121</v>
      </c>
    </row>
    <row r="1122" spans="3:3" x14ac:dyDescent="0.3">
      <c r="C1122">
        <v>1122</v>
      </c>
    </row>
    <row r="1123" spans="3:3" x14ac:dyDescent="0.3">
      <c r="C1123">
        <v>1123</v>
      </c>
    </row>
    <row r="1124" spans="3:3" x14ac:dyDescent="0.3">
      <c r="C1124">
        <v>1124</v>
      </c>
    </row>
    <row r="1125" spans="3:3" x14ac:dyDescent="0.3">
      <c r="C1125">
        <v>1125</v>
      </c>
    </row>
    <row r="1126" spans="3:3" x14ac:dyDescent="0.3">
      <c r="C1126">
        <v>1126</v>
      </c>
    </row>
    <row r="1127" spans="3:3" x14ac:dyDescent="0.3">
      <c r="C1127">
        <v>1127</v>
      </c>
    </row>
    <row r="1128" spans="3:3" x14ac:dyDescent="0.3">
      <c r="C1128">
        <v>1128</v>
      </c>
    </row>
    <row r="1129" spans="3:3" x14ac:dyDescent="0.3">
      <c r="C1129">
        <v>1129</v>
      </c>
    </row>
    <row r="1130" spans="3:3" x14ac:dyDescent="0.3">
      <c r="C1130">
        <v>1130</v>
      </c>
    </row>
    <row r="1131" spans="3:3" x14ac:dyDescent="0.3">
      <c r="C1131">
        <v>1131</v>
      </c>
    </row>
    <row r="1132" spans="3:3" x14ac:dyDescent="0.3">
      <c r="C1132">
        <v>1132</v>
      </c>
    </row>
    <row r="1133" spans="3:3" x14ac:dyDescent="0.3">
      <c r="C1133">
        <v>1133</v>
      </c>
    </row>
    <row r="1134" spans="3:3" x14ac:dyDescent="0.3">
      <c r="C1134">
        <v>1134</v>
      </c>
    </row>
    <row r="1135" spans="3:3" x14ac:dyDescent="0.3">
      <c r="C1135">
        <v>1135</v>
      </c>
    </row>
    <row r="1136" spans="3:3" x14ac:dyDescent="0.3">
      <c r="C1136">
        <v>1136</v>
      </c>
    </row>
    <row r="1137" spans="3:3" x14ac:dyDescent="0.3">
      <c r="C1137">
        <v>1137</v>
      </c>
    </row>
    <row r="1138" spans="3:3" x14ac:dyDescent="0.3">
      <c r="C1138">
        <v>1138</v>
      </c>
    </row>
    <row r="1139" spans="3:3" x14ac:dyDescent="0.3">
      <c r="C1139">
        <v>1139</v>
      </c>
    </row>
    <row r="1140" spans="3:3" x14ac:dyDescent="0.3">
      <c r="C1140">
        <v>1140</v>
      </c>
    </row>
    <row r="1141" spans="3:3" x14ac:dyDescent="0.3">
      <c r="C1141">
        <v>1141</v>
      </c>
    </row>
    <row r="1142" spans="3:3" x14ac:dyDescent="0.3">
      <c r="C1142">
        <v>1142</v>
      </c>
    </row>
    <row r="1143" spans="3:3" x14ac:dyDescent="0.3">
      <c r="C1143">
        <v>1143</v>
      </c>
    </row>
    <row r="1144" spans="3:3" x14ac:dyDescent="0.3">
      <c r="C1144">
        <v>1144</v>
      </c>
    </row>
    <row r="1145" spans="3:3" x14ac:dyDescent="0.3">
      <c r="C1145">
        <v>1145</v>
      </c>
    </row>
    <row r="1146" spans="3:3" x14ac:dyDescent="0.3">
      <c r="C1146">
        <v>1146</v>
      </c>
    </row>
    <row r="1147" spans="3:3" x14ac:dyDescent="0.3">
      <c r="C1147">
        <v>1147</v>
      </c>
    </row>
    <row r="1148" spans="3:3" x14ac:dyDescent="0.3">
      <c r="C1148">
        <v>1148</v>
      </c>
    </row>
    <row r="1149" spans="3:3" x14ac:dyDescent="0.3">
      <c r="C1149">
        <v>1149</v>
      </c>
    </row>
    <row r="1150" spans="3:3" x14ac:dyDescent="0.3">
      <c r="C1150">
        <v>1150</v>
      </c>
    </row>
    <row r="1151" spans="3:3" x14ac:dyDescent="0.3">
      <c r="C1151">
        <v>1151</v>
      </c>
    </row>
    <row r="1152" spans="3:3" x14ac:dyDescent="0.3">
      <c r="C1152">
        <v>1152</v>
      </c>
    </row>
    <row r="1153" spans="3:3" x14ac:dyDescent="0.3">
      <c r="C1153">
        <v>1153</v>
      </c>
    </row>
    <row r="1154" spans="3:3" x14ac:dyDescent="0.3">
      <c r="C1154">
        <v>1154</v>
      </c>
    </row>
    <row r="1155" spans="3:3" x14ac:dyDescent="0.3">
      <c r="C1155">
        <v>1155</v>
      </c>
    </row>
    <row r="1156" spans="3:3" x14ac:dyDescent="0.3">
      <c r="C1156">
        <v>1156</v>
      </c>
    </row>
    <row r="1157" spans="3:3" x14ac:dyDescent="0.3">
      <c r="C1157">
        <v>1157</v>
      </c>
    </row>
    <row r="1158" spans="3:3" x14ac:dyDescent="0.3">
      <c r="C1158">
        <v>1158</v>
      </c>
    </row>
    <row r="1159" spans="3:3" x14ac:dyDescent="0.3">
      <c r="C1159">
        <v>1159</v>
      </c>
    </row>
    <row r="1160" spans="3:3" x14ac:dyDescent="0.3">
      <c r="C1160">
        <v>1160</v>
      </c>
    </row>
    <row r="1161" spans="3:3" x14ac:dyDescent="0.3">
      <c r="C1161">
        <v>1161</v>
      </c>
    </row>
    <row r="1162" spans="3:3" x14ac:dyDescent="0.3">
      <c r="C1162">
        <v>1162</v>
      </c>
    </row>
    <row r="1163" spans="3:3" x14ac:dyDescent="0.3">
      <c r="C1163">
        <v>1163</v>
      </c>
    </row>
    <row r="1164" spans="3:3" x14ac:dyDescent="0.3">
      <c r="C1164">
        <v>1164</v>
      </c>
    </row>
    <row r="1165" spans="3:3" x14ac:dyDescent="0.3">
      <c r="C1165">
        <v>1165</v>
      </c>
    </row>
    <row r="1166" spans="3:3" x14ac:dyDescent="0.3">
      <c r="C1166">
        <v>1166</v>
      </c>
    </row>
    <row r="1167" spans="3:3" x14ac:dyDescent="0.3">
      <c r="C1167">
        <v>1167</v>
      </c>
    </row>
    <row r="1168" spans="3:3" x14ac:dyDescent="0.3">
      <c r="C1168">
        <v>1168</v>
      </c>
    </row>
    <row r="1169" spans="3:3" x14ac:dyDescent="0.3">
      <c r="C1169">
        <v>1169</v>
      </c>
    </row>
    <row r="1170" spans="3:3" x14ac:dyDescent="0.3">
      <c r="C1170">
        <v>1170</v>
      </c>
    </row>
    <row r="1171" spans="3:3" x14ac:dyDescent="0.3">
      <c r="C1171">
        <v>1171</v>
      </c>
    </row>
    <row r="1172" spans="3:3" x14ac:dyDescent="0.3">
      <c r="C1172">
        <v>1172</v>
      </c>
    </row>
    <row r="1173" spans="3:3" x14ac:dyDescent="0.3">
      <c r="C1173">
        <v>1173</v>
      </c>
    </row>
    <row r="1174" spans="3:3" x14ac:dyDescent="0.3">
      <c r="C1174">
        <v>1174</v>
      </c>
    </row>
    <row r="1175" spans="3:3" x14ac:dyDescent="0.3">
      <c r="C1175">
        <v>1175</v>
      </c>
    </row>
    <row r="1176" spans="3:3" x14ac:dyDescent="0.3">
      <c r="C1176">
        <v>1176</v>
      </c>
    </row>
    <row r="1177" spans="3:3" x14ac:dyDescent="0.3">
      <c r="C1177">
        <v>1177</v>
      </c>
    </row>
    <row r="1178" spans="3:3" x14ac:dyDescent="0.3">
      <c r="C1178">
        <v>1178</v>
      </c>
    </row>
    <row r="1179" spans="3:3" x14ac:dyDescent="0.3">
      <c r="C1179">
        <v>1179</v>
      </c>
    </row>
    <row r="1180" spans="3:3" x14ac:dyDescent="0.3">
      <c r="C1180">
        <v>1180</v>
      </c>
    </row>
    <row r="1181" spans="3:3" x14ac:dyDescent="0.3">
      <c r="C1181">
        <v>1181</v>
      </c>
    </row>
    <row r="1182" spans="3:3" x14ac:dyDescent="0.3">
      <c r="C1182">
        <v>1182</v>
      </c>
    </row>
    <row r="1183" spans="3:3" x14ac:dyDescent="0.3">
      <c r="C1183">
        <v>1183</v>
      </c>
    </row>
    <row r="1184" spans="3:3" x14ac:dyDescent="0.3">
      <c r="C1184">
        <v>1184</v>
      </c>
    </row>
    <row r="1185" spans="3:3" x14ac:dyDescent="0.3">
      <c r="C1185">
        <v>1185</v>
      </c>
    </row>
    <row r="1186" spans="3:3" x14ac:dyDescent="0.3">
      <c r="C1186">
        <v>1186</v>
      </c>
    </row>
    <row r="1187" spans="3:3" x14ac:dyDescent="0.3">
      <c r="C1187">
        <v>1187</v>
      </c>
    </row>
    <row r="1188" spans="3:3" x14ac:dyDescent="0.3">
      <c r="C1188">
        <v>1188</v>
      </c>
    </row>
    <row r="1189" spans="3:3" x14ac:dyDescent="0.3">
      <c r="C1189">
        <v>1189</v>
      </c>
    </row>
    <row r="1190" spans="3:3" x14ac:dyDescent="0.3">
      <c r="C1190">
        <v>1190</v>
      </c>
    </row>
    <row r="1191" spans="3:3" x14ac:dyDescent="0.3">
      <c r="C1191">
        <v>1191</v>
      </c>
    </row>
    <row r="1192" spans="3:3" x14ac:dyDescent="0.3">
      <c r="C1192">
        <v>1192</v>
      </c>
    </row>
    <row r="1193" spans="3:3" x14ac:dyDescent="0.3">
      <c r="C1193">
        <v>1193</v>
      </c>
    </row>
    <row r="1194" spans="3:3" x14ac:dyDescent="0.3">
      <c r="C1194">
        <v>1194</v>
      </c>
    </row>
    <row r="1195" spans="3:3" x14ac:dyDescent="0.3">
      <c r="C1195">
        <v>1195</v>
      </c>
    </row>
    <row r="1196" spans="3:3" x14ac:dyDescent="0.3">
      <c r="C1196">
        <v>1196</v>
      </c>
    </row>
    <row r="1197" spans="3:3" x14ac:dyDescent="0.3">
      <c r="C1197">
        <v>1197</v>
      </c>
    </row>
    <row r="1198" spans="3:3" x14ac:dyDescent="0.3">
      <c r="C1198">
        <v>1198</v>
      </c>
    </row>
    <row r="1199" spans="3:3" x14ac:dyDescent="0.3">
      <c r="C1199">
        <v>1199</v>
      </c>
    </row>
    <row r="1200" spans="3:3" x14ac:dyDescent="0.3">
      <c r="C1200">
        <v>1200</v>
      </c>
    </row>
    <row r="1201" spans="3:3" x14ac:dyDescent="0.3">
      <c r="C1201">
        <v>1201</v>
      </c>
    </row>
    <row r="1202" spans="3:3" x14ac:dyDescent="0.3">
      <c r="C1202">
        <v>1202</v>
      </c>
    </row>
    <row r="1203" spans="3:3" x14ac:dyDescent="0.3">
      <c r="C1203">
        <v>1203</v>
      </c>
    </row>
    <row r="1204" spans="3:3" x14ac:dyDescent="0.3">
      <c r="C1204">
        <v>1204</v>
      </c>
    </row>
    <row r="1205" spans="3:3" x14ac:dyDescent="0.3">
      <c r="C1205">
        <v>1205</v>
      </c>
    </row>
    <row r="1206" spans="3:3" x14ac:dyDescent="0.3">
      <c r="C1206">
        <v>1206</v>
      </c>
    </row>
    <row r="1207" spans="3:3" x14ac:dyDescent="0.3">
      <c r="C1207">
        <v>1207</v>
      </c>
    </row>
    <row r="1208" spans="3:3" x14ac:dyDescent="0.3">
      <c r="C1208">
        <v>1208</v>
      </c>
    </row>
    <row r="1209" spans="3:3" x14ac:dyDescent="0.3">
      <c r="C1209">
        <v>1209</v>
      </c>
    </row>
    <row r="1210" spans="3:3" x14ac:dyDescent="0.3">
      <c r="C1210">
        <v>1210</v>
      </c>
    </row>
    <row r="1211" spans="3:3" x14ac:dyDescent="0.3">
      <c r="C1211">
        <v>1211</v>
      </c>
    </row>
    <row r="1212" spans="3:3" x14ac:dyDescent="0.3">
      <c r="C1212">
        <v>1212</v>
      </c>
    </row>
    <row r="1213" spans="3:3" x14ac:dyDescent="0.3">
      <c r="C1213">
        <v>1213</v>
      </c>
    </row>
    <row r="1214" spans="3:3" x14ac:dyDescent="0.3">
      <c r="C1214">
        <v>1214</v>
      </c>
    </row>
    <row r="1215" spans="3:3" x14ac:dyDescent="0.3">
      <c r="C1215">
        <v>1215</v>
      </c>
    </row>
    <row r="1216" spans="3:3" x14ac:dyDescent="0.3">
      <c r="C1216">
        <v>1216</v>
      </c>
    </row>
    <row r="1217" spans="3:3" x14ac:dyDescent="0.3">
      <c r="C1217">
        <v>1217</v>
      </c>
    </row>
    <row r="1218" spans="3:3" x14ac:dyDescent="0.3">
      <c r="C1218">
        <v>1218</v>
      </c>
    </row>
    <row r="1219" spans="3:3" x14ac:dyDescent="0.3">
      <c r="C1219">
        <v>1219</v>
      </c>
    </row>
    <row r="1220" spans="3:3" x14ac:dyDescent="0.3">
      <c r="C1220">
        <v>1220</v>
      </c>
    </row>
    <row r="1221" spans="3:3" x14ac:dyDescent="0.3">
      <c r="C1221">
        <v>1221</v>
      </c>
    </row>
    <row r="1222" spans="3:3" x14ac:dyDescent="0.3">
      <c r="C1222">
        <v>1222</v>
      </c>
    </row>
    <row r="1223" spans="3:3" x14ac:dyDescent="0.3">
      <c r="C1223">
        <v>1223</v>
      </c>
    </row>
    <row r="1224" spans="3:3" x14ac:dyDescent="0.3">
      <c r="C1224">
        <v>1224</v>
      </c>
    </row>
    <row r="1225" spans="3:3" x14ac:dyDescent="0.3">
      <c r="C1225">
        <v>1225</v>
      </c>
    </row>
    <row r="1226" spans="3:3" x14ac:dyDescent="0.3">
      <c r="C1226">
        <v>1226</v>
      </c>
    </row>
    <row r="1227" spans="3:3" x14ac:dyDescent="0.3">
      <c r="C1227">
        <v>1227</v>
      </c>
    </row>
    <row r="1228" spans="3:3" x14ac:dyDescent="0.3">
      <c r="C1228">
        <v>1228</v>
      </c>
    </row>
    <row r="1229" spans="3:3" x14ac:dyDescent="0.3">
      <c r="C1229">
        <v>1229</v>
      </c>
    </row>
    <row r="1230" spans="3:3" x14ac:dyDescent="0.3">
      <c r="C1230">
        <v>1230</v>
      </c>
    </row>
    <row r="1231" spans="3:3" x14ac:dyDescent="0.3">
      <c r="C1231">
        <v>1231</v>
      </c>
    </row>
    <row r="1232" spans="3:3" x14ac:dyDescent="0.3">
      <c r="C1232">
        <v>1232</v>
      </c>
    </row>
    <row r="1233" spans="3:3" x14ac:dyDescent="0.3">
      <c r="C1233">
        <v>1233</v>
      </c>
    </row>
    <row r="1234" spans="3:3" x14ac:dyDescent="0.3">
      <c r="C1234">
        <v>1234</v>
      </c>
    </row>
    <row r="1235" spans="3:3" x14ac:dyDescent="0.3">
      <c r="C1235">
        <v>1235</v>
      </c>
    </row>
    <row r="1236" spans="3:3" x14ac:dyDescent="0.3">
      <c r="C1236">
        <v>1236</v>
      </c>
    </row>
    <row r="1237" spans="3:3" x14ac:dyDescent="0.3">
      <c r="C1237">
        <v>1237</v>
      </c>
    </row>
    <row r="1238" spans="3:3" x14ac:dyDescent="0.3">
      <c r="C1238">
        <v>1238</v>
      </c>
    </row>
    <row r="1239" spans="3:3" x14ac:dyDescent="0.3">
      <c r="C1239">
        <v>1239</v>
      </c>
    </row>
    <row r="1240" spans="3:3" x14ac:dyDescent="0.3">
      <c r="C1240">
        <v>1240</v>
      </c>
    </row>
    <row r="1241" spans="3:3" x14ac:dyDescent="0.3">
      <c r="C1241">
        <v>1241</v>
      </c>
    </row>
    <row r="1242" spans="3:3" x14ac:dyDescent="0.3">
      <c r="C1242">
        <v>1242</v>
      </c>
    </row>
    <row r="1243" spans="3:3" x14ac:dyDescent="0.3">
      <c r="C1243">
        <v>1243</v>
      </c>
    </row>
    <row r="1244" spans="3:3" x14ac:dyDescent="0.3">
      <c r="C1244">
        <v>1244</v>
      </c>
    </row>
    <row r="1245" spans="3:3" x14ac:dyDescent="0.3">
      <c r="C1245">
        <v>1245</v>
      </c>
    </row>
    <row r="1246" spans="3:3" x14ac:dyDescent="0.3">
      <c r="C1246">
        <v>1246</v>
      </c>
    </row>
    <row r="1247" spans="3:3" x14ac:dyDescent="0.3">
      <c r="C1247">
        <v>1247</v>
      </c>
    </row>
    <row r="1248" spans="3:3" x14ac:dyDescent="0.3">
      <c r="C1248">
        <v>1248</v>
      </c>
    </row>
    <row r="1249" spans="3:3" x14ac:dyDescent="0.3">
      <c r="C1249">
        <v>1249</v>
      </c>
    </row>
    <row r="1250" spans="3:3" x14ac:dyDescent="0.3">
      <c r="C1250">
        <v>1250</v>
      </c>
    </row>
    <row r="1251" spans="3:3" x14ac:dyDescent="0.3">
      <c r="C1251">
        <v>1251</v>
      </c>
    </row>
    <row r="1252" spans="3:3" x14ac:dyDescent="0.3">
      <c r="C1252">
        <v>1252</v>
      </c>
    </row>
    <row r="1253" spans="3:3" x14ac:dyDescent="0.3">
      <c r="C1253">
        <v>1253</v>
      </c>
    </row>
    <row r="1254" spans="3:3" x14ac:dyDescent="0.3">
      <c r="C1254">
        <v>1254</v>
      </c>
    </row>
    <row r="1255" spans="3:3" x14ac:dyDescent="0.3">
      <c r="C1255">
        <v>1255</v>
      </c>
    </row>
    <row r="1256" spans="3:3" x14ac:dyDescent="0.3">
      <c r="C1256">
        <v>1256</v>
      </c>
    </row>
    <row r="1257" spans="3:3" x14ac:dyDescent="0.3">
      <c r="C1257">
        <v>1257</v>
      </c>
    </row>
    <row r="1258" spans="3:3" x14ac:dyDescent="0.3">
      <c r="C1258">
        <v>1258</v>
      </c>
    </row>
    <row r="1259" spans="3:3" x14ac:dyDescent="0.3">
      <c r="C1259">
        <v>1259</v>
      </c>
    </row>
    <row r="1260" spans="3:3" x14ac:dyDescent="0.3">
      <c r="C1260">
        <v>1260</v>
      </c>
    </row>
    <row r="1261" spans="3:3" x14ac:dyDescent="0.3">
      <c r="C1261">
        <v>1261</v>
      </c>
    </row>
    <row r="1262" spans="3:3" x14ac:dyDescent="0.3">
      <c r="C1262">
        <v>1262</v>
      </c>
    </row>
    <row r="1263" spans="3:3" x14ac:dyDescent="0.3">
      <c r="C1263">
        <v>1263</v>
      </c>
    </row>
    <row r="1264" spans="3:3" x14ac:dyDescent="0.3">
      <c r="C1264">
        <v>1264</v>
      </c>
    </row>
    <row r="1265" spans="3:3" x14ac:dyDescent="0.3">
      <c r="C1265">
        <v>1265</v>
      </c>
    </row>
    <row r="1266" spans="3:3" x14ac:dyDescent="0.3">
      <c r="C1266">
        <v>1266</v>
      </c>
    </row>
    <row r="1267" spans="3:3" x14ac:dyDescent="0.3">
      <c r="C1267">
        <v>1267</v>
      </c>
    </row>
    <row r="1268" spans="3:3" x14ac:dyDescent="0.3">
      <c r="C1268">
        <v>1268</v>
      </c>
    </row>
    <row r="1269" spans="3:3" x14ac:dyDescent="0.3">
      <c r="C1269">
        <v>1269</v>
      </c>
    </row>
    <row r="1270" spans="3:3" x14ac:dyDescent="0.3">
      <c r="C1270">
        <v>1270</v>
      </c>
    </row>
    <row r="1271" spans="3:3" x14ac:dyDescent="0.3">
      <c r="C1271">
        <v>1271</v>
      </c>
    </row>
    <row r="1272" spans="3:3" x14ac:dyDescent="0.3">
      <c r="C1272">
        <v>1272</v>
      </c>
    </row>
    <row r="1273" spans="3:3" x14ac:dyDescent="0.3">
      <c r="C1273">
        <v>1273</v>
      </c>
    </row>
    <row r="1274" spans="3:3" x14ac:dyDescent="0.3">
      <c r="C1274">
        <v>1274</v>
      </c>
    </row>
    <row r="1275" spans="3:3" x14ac:dyDescent="0.3">
      <c r="C1275">
        <v>1275</v>
      </c>
    </row>
    <row r="1276" spans="3:3" x14ac:dyDescent="0.3">
      <c r="C1276">
        <v>1276</v>
      </c>
    </row>
    <row r="1277" spans="3:3" x14ac:dyDescent="0.3">
      <c r="C1277">
        <v>1277</v>
      </c>
    </row>
    <row r="1278" spans="3:3" x14ac:dyDescent="0.3">
      <c r="C1278">
        <v>1278</v>
      </c>
    </row>
    <row r="1279" spans="3:3" x14ac:dyDescent="0.3">
      <c r="C1279">
        <v>1279</v>
      </c>
    </row>
    <row r="1280" spans="3:3" x14ac:dyDescent="0.3">
      <c r="C1280">
        <v>1280</v>
      </c>
    </row>
    <row r="1281" spans="3:3" x14ac:dyDescent="0.3">
      <c r="C1281">
        <v>1281</v>
      </c>
    </row>
    <row r="1282" spans="3:3" x14ac:dyDescent="0.3">
      <c r="C1282">
        <v>1282</v>
      </c>
    </row>
    <row r="1283" spans="3:3" x14ac:dyDescent="0.3">
      <c r="C1283">
        <v>1283</v>
      </c>
    </row>
    <row r="1284" spans="3:3" x14ac:dyDescent="0.3">
      <c r="C1284">
        <v>1284</v>
      </c>
    </row>
    <row r="1285" spans="3:3" x14ac:dyDescent="0.3">
      <c r="C1285">
        <v>1285</v>
      </c>
    </row>
    <row r="1286" spans="3:3" x14ac:dyDescent="0.3">
      <c r="C1286">
        <v>1286</v>
      </c>
    </row>
    <row r="1287" spans="3:3" x14ac:dyDescent="0.3">
      <c r="C1287">
        <v>1287</v>
      </c>
    </row>
    <row r="1288" spans="3:3" x14ac:dyDescent="0.3">
      <c r="C1288">
        <v>1288</v>
      </c>
    </row>
    <row r="1289" spans="3:3" x14ac:dyDescent="0.3">
      <c r="C1289">
        <v>1289</v>
      </c>
    </row>
    <row r="1290" spans="3:3" x14ac:dyDescent="0.3">
      <c r="C1290">
        <v>1290</v>
      </c>
    </row>
    <row r="1291" spans="3:3" x14ac:dyDescent="0.3">
      <c r="C1291">
        <v>1291</v>
      </c>
    </row>
    <row r="1292" spans="3:3" x14ac:dyDescent="0.3">
      <c r="C1292">
        <v>1292</v>
      </c>
    </row>
    <row r="1293" spans="3:3" x14ac:dyDescent="0.3">
      <c r="C1293">
        <v>1293</v>
      </c>
    </row>
    <row r="1294" spans="3:3" x14ac:dyDescent="0.3">
      <c r="C1294">
        <v>1294</v>
      </c>
    </row>
    <row r="1295" spans="3:3" x14ac:dyDescent="0.3">
      <c r="C1295">
        <v>1295</v>
      </c>
    </row>
    <row r="1296" spans="3:3" x14ac:dyDescent="0.3">
      <c r="C1296">
        <v>1296</v>
      </c>
    </row>
    <row r="1297" spans="3:3" x14ac:dyDescent="0.3">
      <c r="C1297">
        <v>1297</v>
      </c>
    </row>
    <row r="1298" spans="3:3" x14ac:dyDescent="0.3">
      <c r="C1298">
        <v>1298</v>
      </c>
    </row>
    <row r="1299" spans="3:3" x14ac:dyDescent="0.3">
      <c r="C1299">
        <v>1299</v>
      </c>
    </row>
    <row r="1300" spans="3:3" x14ac:dyDescent="0.3">
      <c r="C1300">
        <v>1300</v>
      </c>
    </row>
    <row r="1301" spans="3:3" x14ac:dyDescent="0.3">
      <c r="C1301">
        <v>1301</v>
      </c>
    </row>
    <row r="1302" spans="3:3" x14ac:dyDescent="0.3">
      <c r="C1302">
        <v>1302</v>
      </c>
    </row>
    <row r="1303" spans="3:3" x14ac:dyDescent="0.3">
      <c r="C1303">
        <v>1303</v>
      </c>
    </row>
    <row r="1304" spans="3:3" x14ac:dyDescent="0.3">
      <c r="C1304">
        <v>1304</v>
      </c>
    </row>
    <row r="1305" spans="3:3" x14ac:dyDescent="0.3">
      <c r="C1305">
        <v>1305</v>
      </c>
    </row>
    <row r="1306" spans="3:3" x14ac:dyDescent="0.3">
      <c r="C1306">
        <v>1306</v>
      </c>
    </row>
    <row r="1307" spans="3:3" x14ac:dyDescent="0.3">
      <c r="C1307">
        <v>1307</v>
      </c>
    </row>
    <row r="1308" spans="3:3" x14ac:dyDescent="0.3">
      <c r="C1308">
        <v>1308</v>
      </c>
    </row>
    <row r="1309" spans="3:3" x14ac:dyDescent="0.3">
      <c r="C1309">
        <v>1309</v>
      </c>
    </row>
    <row r="1310" spans="3:3" x14ac:dyDescent="0.3">
      <c r="C1310">
        <v>1310</v>
      </c>
    </row>
    <row r="1311" spans="3:3" x14ac:dyDescent="0.3">
      <c r="C1311">
        <v>1311</v>
      </c>
    </row>
    <row r="1312" spans="3:3" x14ac:dyDescent="0.3">
      <c r="C1312">
        <v>1312</v>
      </c>
    </row>
    <row r="1313" spans="3:3" x14ac:dyDescent="0.3">
      <c r="C1313">
        <v>1313</v>
      </c>
    </row>
    <row r="1314" spans="3:3" x14ac:dyDescent="0.3">
      <c r="C1314">
        <v>1314</v>
      </c>
    </row>
    <row r="1315" spans="3:3" x14ac:dyDescent="0.3">
      <c r="C1315">
        <v>1315</v>
      </c>
    </row>
    <row r="1316" spans="3:3" x14ac:dyDescent="0.3">
      <c r="C1316">
        <v>1316</v>
      </c>
    </row>
    <row r="1317" spans="3:3" x14ac:dyDescent="0.3">
      <c r="C1317">
        <v>1317</v>
      </c>
    </row>
    <row r="1318" spans="3:3" x14ac:dyDescent="0.3">
      <c r="C1318">
        <v>1318</v>
      </c>
    </row>
    <row r="1319" spans="3:3" x14ac:dyDescent="0.3">
      <c r="C1319">
        <v>1319</v>
      </c>
    </row>
    <row r="1320" spans="3:3" x14ac:dyDescent="0.3">
      <c r="C1320">
        <v>1320</v>
      </c>
    </row>
    <row r="1321" spans="3:3" x14ac:dyDescent="0.3">
      <c r="C1321">
        <v>1321</v>
      </c>
    </row>
    <row r="1322" spans="3:3" x14ac:dyDescent="0.3">
      <c r="C1322">
        <v>1322</v>
      </c>
    </row>
    <row r="1323" spans="3:3" x14ac:dyDescent="0.3">
      <c r="C1323">
        <v>1323</v>
      </c>
    </row>
    <row r="1324" spans="3:3" x14ac:dyDescent="0.3">
      <c r="C1324">
        <v>1324</v>
      </c>
    </row>
    <row r="1325" spans="3:3" x14ac:dyDescent="0.3">
      <c r="C1325">
        <v>1325</v>
      </c>
    </row>
    <row r="1326" spans="3:3" x14ac:dyDescent="0.3">
      <c r="C1326">
        <v>1326</v>
      </c>
    </row>
    <row r="1327" spans="3:3" x14ac:dyDescent="0.3">
      <c r="C1327">
        <v>1327</v>
      </c>
    </row>
    <row r="1328" spans="3:3" x14ac:dyDescent="0.3">
      <c r="C1328">
        <v>1328</v>
      </c>
    </row>
    <row r="1329" spans="3:3" x14ac:dyDescent="0.3">
      <c r="C1329">
        <v>1329</v>
      </c>
    </row>
    <row r="1330" spans="3:3" x14ac:dyDescent="0.3">
      <c r="C1330">
        <v>1330</v>
      </c>
    </row>
    <row r="1331" spans="3:3" x14ac:dyDescent="0.3">
      <c r="C1331">
        <v>1331</v>
      </c>
    </row>
    <row r="1332" spans="3:3" x14ac:dyDescent="0.3">
      <c r="C1332">
        <v>1332</v>
      </c>
    </row>
    <row r="1333" spans="3:3" x14ac:dyDescent="0.3">
      <c r="C1333">
        <v>1333</v>
      </c>
    </row>
    <row r="1334" spans="3:3" x14ac:dyDescent="0.3">
      <c r="C1334">
        <v>1334</v>
      </c>
    </row>
    <row r="1335" spans="3:3" x14ac:dyDescent="0.3">
      <c r="C1335">
        <v>1335</v>
      </c>
    </row>
    <row r="1336" spans="3:3" x14ac:dyDescent="0.3">
      <c r="C1336">
        <v>1336</v>
      </c>
    </row>
    <row r="1337" spans="3:3" x14ac:dyDescent="0.3">
      <c r="C1337">
        <v>1337</v>
      </c>
    </row>
    <row r="1338" spans="3:3" x14ac:dyDescent="0.3">
      <c r="C1338">
        <v>1338</v>
      </c>
    </row>
    <row r="1339" spans="3:3" x14ac:dyDescent="0.3">
      <c r="C1339">
        <v>1339</v>
      </c>
    </row>
    <row r="1340" spans="3:3" x14ac:dyDescent="0.3">
      <c r="C1340">
        <v>1340</v>
      </c>
    </row>
    <row r="1341" spans="3:3" x14ac:dyDescent="0.3">
      <c r="C1341">
        <v>1341</v>
      </c>
    </row>
    <row r="1342" spans="3:3" x14ac:dyDescent="0.3">
      <c r="C1342">
        <v>1342</v>
      </c>
    </row>
    <row r="1343" spans="3:3" x14ac:dyDescent="0.3">
      <c r="C1343">
        <v>1343</v>
      </c>
    </row>
    <row r="1344" spans="3:3" x14ac:dyDescent="0.3">
      <c r="C1344">
        <v>1344</v>
      </c>
    </row>
    <row r="1345" spans="3:3" x14ac:dyDescent="0.3">
      <c r="C1345">
        <v>1345</v>
      </c>
    </row>
    <row r="1346" spans="3:3" x14ac:dyDescent="0.3">
      <c r="C1346">
        <v>1346</v>
      </c>
    </row>
    <row r="1347" spans="3:3" x14ac:dyDescent="0.3">
      <c r="C1347">
        <v>1347</v>
      </c>
    </row>
    <row r="1348" spans="3:3" x14ac:dyDescent="0.3">
      <c r="C1348">
        <v>1348</v>
      </c>
    </row>
    <row r="1349" spans="3:3" x14ac:dyDescent="0.3">
      <c r="C1349">
        <v>1349</v>
      </c>
    </row>
    <row r="1350" spans="3:3" x14ac:dyDescent="0.3">
      <c r="C1350">
        <v>1350</v>
      </c>
    </row>
    <row r="1351" spans="3:3" x14ac:dyDescent="0.3">
      <c r="C1351">
        <v>1351</v>
      </c>
    </row>
    <row r="1352" spans="3:3" x14ac:dyDescent="0.3">
      <c r="C1352">
        <v>1352</v>
      </c>
    </row>
    <row r="1353" spans="3:3" x14ac:dyDescent="0.3">
      <c r="C1353">
        <v>1353</v>
      </c>
    </row>
    <row r="1354" spans="3:3" x14ac:dyDescent="0.3">
      <c r="C1354">
        <v>1354</v>
      </c>
    </row>
    <row r="1355" spans="3:3" x14ac:dyDescent="0.3">
      <c r="C1355">
        <v>1355</v>
      </c>
    </row>
    <row r="1356" spans="3:3" x14ac:dyDescent="0.3">
      <c r="C1356">
        <v>1356</v>
      </c>
    </row>
    <row r="1357" spans="3:3" x14ac:dyDescent="0.3">
      <c r="C1357">
        <v>1357</v>
      </c>
    </row>
    <row r="1358" spans="3:3" x14ac:dyDescent="0.3">
      <c r="C1358">
        <v>1358</v>
      </c>
    </row>
    <row r="1359" spans="3:3" x14ac:dyDescent="0.3">
      <c r="C1359">
        <v>1359</v>
      </c>
    </row>
    <row r="1360" spans="3:3" x14ac:dyDescent="0.3">
      <c r="C1360">
        <v>1360</v>
      </c>
    </row>
    <row r="1361" spans="3:3" x14ac:dyDescent="0.3">
      <c r="C1361">
        <v>1361</v>
      </c>
    </row>
    <row r="1362" spans="3:3" x14ac:dyDescent="0.3">
      <c r="C1362">
        <v>1362</v>
      </c>
    </row>
    <row r="1363" spans="3:3" x14ac:dyDescent="0.3">
      <c r="C1363">
        <v>1363</v>
      </c>
    </row>
    <row r="1364" spans="3:3" x14ac:dyDescent="0.3">
      <c r="C1364">
        <v>1364</v>
      </c>
    </row>
    <row r="1365" spans="3:3" x14ac:dyDescent="0.3">
      <c r="C1365">
        <v>1365</v>
      </c>
    </row>
    <row r="1366" spans="3:3" x14ac:dyDescent="0.3">
      <c r="C1366">
        <v>1366</v>
      </c>
    </row>
    <row r="1367" spans="3:3" x14ac:dyDescent="0.3">
      <c r="C1367">
        <v>1367</v>
      </c>
    </row>
    <row r="1368" spans="3:3" x14ac:dyDescent="0.3">
      <c r="C1368">
        <v>1368</v>
      </c>
    </row>
    <row r="1369" spans="3:3" x14ac:dyDescent="0.3">
      <c r="C1369">
        <v>1369</v>
      </c>
    </row>
    <row r="1370" spans="3:3" x14ac:dyDescent="0.3">
      <c r="C1370">
        <v>1370</v>
      </c>
    </row>
    <row r="1371" spans="3:3" x14ac:dyDescent="0.3">
      <c r="C1371">
        <v>1371</v>
      </c>
    </row>
    <row r="1372" spans="3:3" x14ac:dyDescent="0.3">
      <c r="C1372">
        <v>1372</v>
      </c>
    </row>
    <row r="1373" spans="3:3" x14ac:dyDescent="0.3">
      <c r="C1373">
        <v>1373</v>
      </c>
    </row>
    <row r="1374" spans="3:3" x14ac:dyDescent="0.3">
      <c r="C1374">
        <v>1374</v>
      </c>
    </row>
    <row r="1375" spans="3:3" x14ac:dyDescent="0.3">
      <c r="C1375">
        <v>1375</v>
      </c>
    </row>
    <row r="1376" spans="3:3" x14ac:dyDescent="0.3">
      <c r="C1376">
        <v>1376</v>
      </c>
    </row>
    <row r="1377" spans="3:3" x14ac:dyDescent="0.3">
      <c r="C1377">
        <v>1377</v>
      </c>
    </row>
    <row r="1378" spans="3:3" x14ac:dyDescent="0.3">
      <c r="C1378">
        <v>1378</v>
      </c>
    </row>
    <row r="1379" spans="3:3" x14ac:dyDescent="0.3">
      <c r="C1379">
        <v>1379</v>
      </c>
    </row>
    <row r="1380" spans="3:3" x14ac:dyDescent="0.3">
      <c r="C1380">
        <v>1380</v>
      </c>
    </row>
    <row r="1381" spans="3:3" x14ac:dyDescent="0.3">
      <c r="C1381">
        <v>1381</v>
      </c>
    </row>
    <row r="1382" spans="3:3" x14ac:dyDescent="0.3">
      <c r="C1382">
        <v>1382</v>
      </c>
    </row>
    <row r="1383" spans="3:3" x14ac:dyDescent="0.3">
      <c r="C1383">
        <v>1383</v>
      </c>
    </row>
    <row r="1384" spans="3:3" x14ac:dyDescent="0.3">
      <c r="C1384">
        <v>1384</v>
      </c>
    </row>
    <row r="1385" spans="3:3" x14ac:dyDescent="0.3">
      <c r="C1385">
        <v>1385</v>
      </c>
    </row>
    <row r="1386" spans="3:3" x14ac:dyDescent="0.3">
      <c r="C1386">
        <v>1386</v>
      </c>
    </row>
    <row r="1387" spans="3:3" x14ac:dyDescent="0.3">
      <c r="C1387">
        <v>1387</v>
      </c>
    </row>
    <row r="1388" spans="3:3" x14ac:dyDescent="0.3">
      <c r="C1388">
        <v>1388</v>
      </c>
    </row>
    <row r="1389" spans="3:3" x14ac:dyDescent="0.3">
      <c r="C1389">
        <v>1389</v>
      </c>
    </row>
    <row r="1390" spans="3:3" x14ac:dyDescent="0.3">
      <c r="C1390">
        <v>1390</v>
      </c>
    </row>
    <row r="1391" spans="3:3" x14ac:dyDescent="0.3">
      <c r="C1391">
        <v>1391</v>
      </c>
    </row>
    <row r="1392" spans="3:3" x14ac:dyDescent="0.3">
      <c r="C1392">
        <v>1392</v>
      </c>
    </row>
    <row r="1393" spans="3:3" x14ac:dyDescent="0.3">
      <c r="C1393">
        <v>1393</v>
      </c>
    </row>
    <row r="1394" spans="3:3" x14ac:dyDescent="0.3">
      <c r="C1394">
        <v>1394</v>
      </c>
    </row>
    <row r="1395" spans="3:3" x14ac:dyDescent="0.3">
      <c r="C1395">
        <v>1395</v>
      </c>
    </row>
    <row r="1396" spans="3:3" x14ac:dyDescent="0.3">
      <c r="C1396">
        <v>1396</v>
      </c>
    </row>
    <row r="1397" spans="3:3" x14ac:dyDescent="0.3">
      <c r="C1397">
        <v>1397</v>
      </c>
    </row>
    <row r="1398" spans="3:3" x14ac:dyDescent="0.3">
      <c r="C1398">
        <v>1398</v>
      </c>
    </row>
    <row r="1399" spans="3:3" x14ac:dyDescent="0.3">
      <c r="C1399">
        <v>1399</v>
      </c>
    </row>
    <row r="1400" spans="3:3" x14ac:dyDescent="0.3">
      <c r="C1400">
        <v>1400</v>
      </c>
    </row>
    <row r="1401" spans="3:3" x14ac:dyDescent="0.3">
      <c r="C1401">
        <v>1401</v>
      </c>
    </row>
    <row r="1402" spans="3:3" x14ac:dyDescent="0.3">
      <c r="C1402">
        <v>1402</v>
      </c>
    </row>
    <row r="1403" spans="3:3" x14ac:dyDescent="0.3">
      <c r="C1403">
        <v>1403</v>
      </c>
    </row>
    <row r="1404" spans="3:3" x14ac:dyDescent="0.3">
      <c r="C1404">
        <v>1404</v>
      </c>
    </row>
    <row r="1405" spans="3:3" x14ac:dyDescent="0.3">
      <c r="C1405">
        <v>1405</v>
      </c>
    </row>
    <row r="1406" spans="3:3" x14ac:dyDescent="0.3">
      <c r="C1406">
        <v>1406</v>
      </c>
    </row>
    <row r="1407" spans="3:3" x14ac:dyDescent="0.3">
      <c r="C1407">
        <v>1407</v>
      </c>
    </row>
    <row r="1408" spans="3:3" x14ac:dyDescent="0.3">
      <c r="C1408">
        <v>1408</v>
      </c>
    </row>
    <row r="1409" spans="3:3" x14ac:dyDescent="0.3">
      <c r="C1409">
        <v>1409</v>
      </c>
    </row>
    <row r="1410" spans="3:3" x14ac:dyDescent="0.3">
      <c r="C1410">
        <v>1410</v>
      </c>
    </row>
    <row r="1411" spans="3:3" x14ac:dyDescent="0.3">
      <c r="C1411">
        <v>1411</v>
      </c>
    </row>
    <row r="1412" spans="3:3" x14ac:dyDescent="0.3">
      <c r="C1412">
        <v>1412</v>
      </c>
    </row>
    <row r="1413" spans="3:3" x14ac:dyDescent="0.3">
      <c r="C1413">
        <v>1413</v>
      </c>
    </row>
    <row r="1414" spans="3:3" x14ac:dyDescent="0.3">
      <c r="C1414">
        <v>1414</v>
      </c>
    </row>
    <row r="1415" spans="3:3" x14ac:dyDescent="0.3">
      <c r="C1415">
        <v>1415</v>
      </c>
    </row>
    <row r="1416" spans="3:3" x14ac:dyDescent="0.3">
      <c r="C1416">
        <v>1416</v>
      </c>
    </row>
    <row r="1417" spans="3:3" x14ac:dyDescent="0.3">
      <c r="C1417">
        <v>1417</v>
      </c>
    </row>
    <row r="1418" spans="3:3" x14ac:dyDescent="0.3">
      <c r="C1418">
        <v>1418</v>
      </c>
    </row>
    <row r="1419" spans="3:3" x14ac:dyDescent="0.3">
      <c r="C1419">
        <v>1419</v>
      </c>
    </row>
    <row r="1420" spans="3:3" x14ac:dyDescent="0.3">
      <c r="C1420">
        <v>1420</v>
      </c>
    </row>
    <row r="1421" spans="3:3" x14ac:dyDescent="0.3">
      <c r="C1421">
        <v>1421</v>
      </c>
    </row>
    <row r="1422" spans="3:3" x14ac:dyDescent="0.3">
      <c r="C1422">
        <v>1422</v>
      </c>
    </row>
    <row r="1423" spans="3:3" x14ac:dyDescent="0.3">
      <c r="C1423">
        <v>1423</v>
      </c>
    </row>
    <row r="1424" spans="3:3" x14ac:dyDescent="0.3">
      <c r="C1424">
        <v>1424</v>
      </c>
    </row>
    <row r="1425" spans="3:3" x14ac:dyDescent="0.3">
      <c r="C1425">
        <v>1425</v>
      </c>
    </row>
    <row r="1426" spans="3:3" x14ac:dyDescent="0.3">
      <c r="C1426">
        <v>1426</v>
      </c>
    </row>
    <row r="1427" spans="3:3" x14ac:dyDescent="0.3">
      <c r="C1427">
        <v>1427</v>
      </c>
    </row>
    <row r="1428" spans="3:3" x14ac:dyDescent="0.3">
      <c r="C1428">
        <v>1428</v>
      </c>
    </row>
    <row r="1429" spans="3:3" x14ac:dyDescent="0.3">
      <c r="C1429">
        <v>1429</v>
      </c>
    </row>
    <row r="1430" spans="3:3" x14ac:dyDescent="0.3">
      <c r="C1430">
        <v>1430</v>
      </c>
    </row>
    <row r="1431" spans="3:3" x14ac:dyDescent="0.3">
      <c r="C1431">
        <v>1431</v>
      </c>
    </row>
    <row r="1432" spans="3:3" x14ac:dyDescent="0.3">
      <c r="C1432">
        <v>1432</v>
      </c>
    </row>
    <row r="1433" spans="3:3" x14ac:dyDescent="0.3">
      <c r="C1433">
        <v>1433</v>
      </c>
    </row>
    <row r="1434" spans="3:3" x14ac:dyDescent="0.3">
      <c r="C1434">
        <v>1434</v>
      </c>
    </row>
    <row r="1435" spans="3:3" x14ac:dyDescent="0.3">
      <c r="C1435">
        <v>1435</v>
      </c>
    </row>
    <row r="1436" spans="3:3" x14ac:dyDescent="0.3">
      <c r="C1436">
        <v>1436</v>
      </c>
    </row>
    <row r="1437" spans="3:3" x14ac:dyDescent="0.3">
      <c r="C1437">
        <v>1437</v>
      </c>
    </row>
    <row r="1438" spans="3:3" x14ac:dyDescent="0.3">
      <c r="C1438">
        <v>1438</v>
      </c>
    </row>
    <row r="1439" spans="3:3" x14ac:dyDescent="0.3">
      <c r="C1439">
        <v>1439</v>
      </c>
    </row>
    <row r="1440" spans="3:3" x14ac:dyDescent="0.3">
      <c r="C1440">
        <v>1440</v>
      </c>
    </row>
    <row r="1441" spans="3:3" x14ac:dyDescent="0.3">
      <c r="C1441">
        <v>1441</v>
      </c>
    </row>
    <row r="1442" spans="3:3" x14ac:dyDescent="0.3">
      <c r="C1442">
        <v>1442</v>
      </c>
    </row>
    <row r="1443" spans="3:3" x14ac:dyDescent="0.3">
      <c r="C1443">
        <v>1443</v>
      </c>
    </row>
    <row r="1444" spans="3:3" x14ac:dyDescent="0.3">
      <c r="C1444">
        <v>1444</v>
      </c>
    </row>
    <row r="1445" spans="3:3" x14ac:dyDescent="0.3">
      <c r="C1445">
        <v>1445</v>
      </c>
    </row>
    <row r="1446" spans="3:3" x14ac:dyDescent="0.3">
      <c r="C1446">
        <v>1446</v>
      </c>
    </row>
    <row r="1447" spans="3:3" x14ac:dyDescent="0.3">
      <c r="C1447">
        <v>1447</v>
      </c>
    </row>
    <row r="1448" spans="3:3" x14ac:dyDescent="0.3">
      <c r="C1448">
        <v>1448</v>
      </c>
    </row>
    <row r="1449" spans="3:3" x14ac:dyDescent="0.3">
      <c r="C1449">
        <v>1449</v>
      </c>
    </row>
    <row r="1450" spans="3:3" x14ac:dyDescent="0.3">
      <c r="C1450">
        <v>1450</v>
      </c>
    </row>
    <row r="1451" spans="3:3" x14ac:dyDescent="0.3">
      <c r="C1451">
        <v>1451</v>
      </c>
    </row>
    <row r="1452" spans="3:3" x14ac:dyDescent="0.3">
      <c r="C1452">
        <v>1452</v>
      </c>
    </row>
    <row r="1453" spans="3:3" x14ac:dyDescent="0.3">
      <c r="C1453">
        <v>1453</v>
      </c>
    </row>
    <row r="1454" spans="3:3" x14ac:dyDescent="0.3">
      <c r="C1454">
        <v>1454</v>
      </c>
    </row>
    <row r="1455" spans="3:3" x14ac:dyDescent="0.3">
      <c r="C1455">
        <v>1455</v>
      </c>
    </row>
    <row r="1456" spans="3:3" x14ac:dyDescent="0.3">
      <c r="C1456">
        <v>1456</v>
      </c>
    </row>
    <row r="1457" spans="3:3" x14ac:dyDescent="0.3">
      <c r="C1457">
        <v>1457</v>
      </c>
    </row>
    <row r="1458" spans="3:3" x14ac:dyDescent="0.3">
      <c r="C1458">
        <v>1458</v>
      </c>
    </row>
    <row r="1459" spans="3:3" x14ac:dyDescent="0.3">
      <c r="C1459">
        <v>1459</v>
      </c>
    </row>
    <row r="1460" spans="3:3" x14ac:dyDescent="0.3">
      <c r="C1460">
        <v>1460</v>
      </c>
    </row>
    <row r="1461" spans="3:3" x14ac:dyDescent="0.3">
      <c r="C1461">
        <v>1461</v>
      </c>
    </row>
    <row r="1462" spans="3:3" x14ac:dyDescent="0.3">
      <c r="C1462">
        <v>1462</v>
      </c>
    </row>
    <row r="1463" spans="3:3" x14ac:dyDescent="0.3">
      <c r="C1463">
        <v>1463</v>
      </c>
    </row>
    <row r="1464" spans="3:3" x14ac:dyDescent="0.3">
      <c r="C1464">
        <v>1464</v>
      </c>
    </row>
    <row r="1465" spans="3:3" x14ac:dyDescent="0.3">
      <c r="C1465">
        <v>1465</v>
      </c>
    </row>
    <row r="1466" spans="3:3" x14ac:dyDescent="0.3">
      <c r="C1466">
        <v>1466</v>
      </c>
    </row>
    <row r="1467" spans="3:3" x14ac:dyDescent="0.3">
      <c r="C1467">
        <v>1467</v>
      </c>
    </row>
    <row r="1468" spans="3:3" x14ac:dyDescent="0.3">
      <c r="C1468">
        <v>1468</v>
      </c>
    </row>
    <row r="1469" spans="3:3" x14ac:dyDescent="0.3">
      <c r="C1469">
        <v>1469</v>
      </c>
    </row>
    <row r="1470" spans="3:3" x14ac:dyDescent="0.3">
      <c r="C1470">
        <v>1470</v>
      </c>
    </row>
    <row r="1471" spans="3:3" x14ac:dyDescent="0.3">
      <c r="C1471">
        <v>1471</v>
      </c>
    </row>
    <row r="1472" spans="3:3" x14ac:dyDescent="0.3">
      <c r="C1472">
        <v>1472</v>
      </c>
    </row>
    <row r="1473" spans="3:3" x14ac:dyDescent="0.3">
      <c r="C1473">
        <v>1473</v>
      </c>
    </row>
    <row r="1474" spans="3:3" x14ac:dyDescent="0.3">
      <c r="C1474">
        <v>1474</v>
      </c>
    </row>
    <row r="1475" spans="3:3" x14ac:dyDescent="0.3">
      <c r="C1475">
        <v>1475</v>
      </c>
    </row>
    <row r="1476" spans="3:3" x14ac:dyDescent="0.3">
      <c r="C1476">
        <v>1476</v>
      </c>
    </row>
    <row r="1477" spans="3:3" x14ac:dyDescent="0.3">
      <c r="C1477">
        <v>1477</v>
      </c>
    </row>
    <row r="1478" spans="3:3" x14ac:dyDescent="0.3">
      <c r="C1478">
        <v>1478</v>
      </c>
    </row>
    <row r="1479" spans="3:3" x14ac:dyDescent="0.3">
      <c r="C1479">
        <v>1479</v>
      </c>
    </row>
    <row r="1480" spans="3:3" x14ac:dyDescent="0.3">
      <c r="C1480">
        <v>1480</v>
      </c>
    </row>
    <row r="1481" spans="3:3" x14ac:dyDescent="0.3">
      <c r="C1481">
        <v>1481</v>
      </c>
    </row>
    <row r="1482" spans="3:3" x14ac:dyDescent="0.3">
      <c r="C1482">
        <v>1482</v>
      </c>
    </row>
    <row r="1483" spans="3:3" x14ac:dyDescent="0.3">
      <c r="C1483">
        <v>1483</v>
      </c>
    </row>
    <row r="1484" spans="3:3" x14ac:dyDescent="0.3">
      <c r="C1484">
        <v>1484</v>
      </c>
    </row>
    <row r="1485" spans="3:3" x14ac:dyDescent="0.3">
      <c r="C1485">
        <v>1485</v>
      </c>
    </row>
    <row r="1486" spans="3:3" x14ac:dyDescent="0.3">
      <c r="C1486">
        <v>1486</v>
      </c>
    </row>
    <row r="1487" spans="3:3" x14ac:dyDescent="0.3">
      <c r="C1487">
        <v>1487</v>
      </c>
    </row>
    <row r="1488" spans="3:3" x14ac:dyDescent="0.3">
      <c r="C1488">
        <v>1488</v>
      </c>
    </row>
    <row r="1489" spans="3:3" x14ac:dyDescent="0.3">
      <c r="C1489">
        <v>1489</v>
      </c>
    </row>
    <row r="1490" spans="3:3" x14ac:dyDescent="0.3">
      <c r="C1490">
        <v>1490</v>
      </c>
    </row>
    <row r="1491" spans="3:3" x14ac:dyDescent="0.3">
      <c r="C1491">
        <v>1491</v>
      </c>
    </row>
    <row r="1492" spans="3:3" x14ac:dyDescent="0.3">
      <c r="C1492">
        <v>1492</v>
      </c>
    </row>
    <row r="1493" spans="3:3" x14ac:dyDescent="0.3">
      <c r="C1493">
        <v>1493</v>
      </c>
    </row>
    <row r="1494" spans="3:3" x14ac:dyDescent="0.3">
      <c r="C1494">
        <v>1494</v>
      </c>
    </row>
    <row r="1495" spans="3:3" x14ac:dyDescent="0.3">
      <c r="C1495">
        <v>1495</v>
      </c>
    </row>
    <row r="1496" spans="3:3" x14ac:dyDescent="0.3">
      <c r="C1496">
        <v>1496</v>
      </c>
    </row>
    <row r="1497" spans="3:3" x14ac:dyDescent="0.3">
      <c r="C1497">
        <v>1497</v>
      </c>
    </row>
    <row r="1498" spans="3:3" x14ac:dyDescent="0.3">
      <c r="C1498">
        <v>1498</v>
      </c>
    </row>
    <row r="1499" spans="3:3" x14ac:dyDescent="0.3">
      <c r="C1499">
        <v>1499</v>
      </c>
    </row>
    <row r="1500" spans="3:3" x14ac:dyDescent="0.3">
      <c r="C1500">
        <v>1500</v>
      </c>
    </row>
    <row r="1501" spans="3:3" x14ac:dyDescent="0.3">
      <c r="C1501">
        <v>1501</v>
      </c>
    </row>
    <row r="1502" spans="3:3" x14ac:dyDescent="0.3">
      <c r="C1502">
        <v>1502</v>
      </c>
    </row>
    <row r="1503" spans="3:3" x14ac:dyDescent="0.3">
      <c r="C1503">
        <v>1503</v>
      </c>
    </row>
    <row r="1504" spans="3:3" x14ac:dyDescent="0.3">
      <c r="C1504">
        <v>1504</v>
      </c>
    </row>
    <row r="1505" spans="3:3" x14ac:dyDescent="0.3">
      <c r="C1505">
        <v>1505</v>
      </c>
    </row>
    <row r="1506" spans="3:3" x14ac:dyDescent="0.3">
      <c r="C1506">
        <v>1506</v>
      </c>
    </row>
    <row r="1507" spans="3:3" x14ac:dyDescent="0.3">
      <c r="C1507">
        <v>1507</v>
      </c>
    </row>
    <row r="1508" spans="3:3" x14ac:dyDescent="0.3">
      <c r="C1508">
        <v>1508</v>
      </c>
    </row>
    <row r="1509" spans="3:3" x14ac:dyDescent="0.3">
      <c r="C1509">
        <v>1509</v>
      </c>
    </row>
    <row r="1510" spans="3:3" x14ac:dyDescent="0.3">
      <c r="C1510">
        <v>1510</v>
      </c>
    </row>
    <row r="1511" spans="3:3" x14ac:dyDescent="0.3">
      <c r="C1511">
        <v>1511</v>
      </c>
    </row>
    <row r="1512" spans="3:3" x14ac:dyDescent="0.3">
      <c r="C1512">
        <v>1512</v>
      </c>
    </row>
    <row r="1513" spans="3:3" x14ac:dyDescent="0.3">
      <c r="C1513">
        <v>1513</v>
      </c>
    </row>
    <row r="1514" spans="3:3" x14ac:dyDescent="0.3">
      <c r="C1514">
        <v>1514</v>
      </c>
    </row>
    <row r="1515" spans="3:3" x14ac:dyDescent="0.3">
      <c r="C1515">
        <v>1515</v>
      </c>
    </row>
    <row r="1516" spans="3:3" x14ac:dyDescent="0.3">
      <c r="C1516">
        <v>1516</v>
      </c>
    </row>
    <row r="1517" spans="3:3" x14ac:dyDescent="0.3">
      <c r="C1517">
        <v>1517</v>
      </c>
    </row>
    <row r="1518" spans="3:3" x14ac:dyDescent="0.3">
      <c r="C1518">
        <v>1518</v>
      </c>
    </row>
    <row r="1519" spans="3:3" x14ac:dyDescent="0.3">
      <c r="C1519">
        <v>1519</v>
      </c>
    </row>
    <row r="1520" spans="3:3" x14ac:dyDescent="0.3">
      <c r="C1520">
        <v>1520</v>
      </c>
    </row>
    <row r="1521" spans="3:3" x14ac:dyDescent="0.3">
      <c r="C1521">
        <v>1521</v>
      </c>
    </row>
    <row r="1522" spans="3:3" x14ac:dyDescent="0.3">
      <c r="C1522">
        <v>1522</v>
      </c>
    </row>
    <row r="1523" spans="3:3" x14ac:dyDescent="0.3">
      <c r="C1523">
        <v>1523</v>
      </c>
    </row>
    <row r="1524" spans="3:3" x14ac:dyDescent="0.3">
      <c r="C1524">
        <v>1524</v>
      </c>
    </row>
    <row r="1525" spans="3:3" x14ac:dyDescent="0.3">
      <c r="C1525">
        <v>1525</v>
      </c>
    </row>
    <row r="1526" spans="3:3" x14ac:dyDescent="0.3">
      <c r="C1526">
        <v>1526</v>
      </c>
    </row>
    <row r="1527" spans="3:3" x14ac:dyDescent="0.3">
      <c r="C1527">
        <v>1527</v>
      </c>
    </row>
    <row r="1528" spans="3:3" x14ac:dyDescent="0.3">
      <c r="C1528">
        <v>1528</v>
      </c>
    </row>
    <row r="1529" spans="3:3" x14ac:dyDescent="0.3">
      <c r="C1529">
        <v>1529</v>
      </c>
    </row>
    <row r="1530" spans="3:3" x14ac:dyDescent="0.3">
      <c r="C1530">
        <v>1530</v>
      </c>
    </row>
    <row r="1531" spans="3:3" x14ac:dyDescent="0.3">
      <c r="C1531">
        <v>1531</v>
      </c>
    </row>
    <row r="1532" spans="3:3" x14ac:dyDescent="0.3">
      <c r="C1532">
        <v>1532</v>
      </c>
    </row>
    <row r="1533" spans="3:3" x14ac:dyDescent="0.3">
      <c r="C1533">
        <v>1533</v>
      </c>
    </row>
    <row r="1534" spans="3:3" x14ac:dyDescent="0.3">
      <c r="C1534">
        <v>1534</v>
      </c>
    </row>
    <row r="1535" spans="3:3" x14ac:dyDescent="0.3">
      <c r="C1535">
        <v>1535</v>
      </c>
    </row>
    <row r="1536" spans="3:3" x14ac:dyDescent="0.3">
      <c r="C1536">
        <v>1536</v>
      </c>
    </row>
    <row r="1537" spans="3:3" x14ac:dyDescent="0.3">
      <c r="C1537">
        <v>1537</v>
      </c>
    </row>
    <row r="1538" spans="3:3" x14ac:dyDescent="0.3">
      <c r="C1538">
        <v>1538</v>
      </c>
    </row>
    <row r="1539" spans="3:3" x14ac:dyDescent="0.3">
      <c r="C1539">
        <v>1539</v>
      </c>
    </row>
    <row r="1540" spans="3:3" x14ac:dyDescent="0.3">
      <c r="C1540">
        <v>1540</v>
      </c>
    </row>
    <row r="1541" spans="3:3" x14ac:dyDescent="0.3">
      <c r="C1541">
        <v>1541</v>
      </c>
    </row>
    <row r="1542" spans="3:3" x14ac:dyDescent="0.3">
      <c r="C1542">
        <v>1542</v>
      </c>
    </row>
    <row r="1543" spans="3:3" x14ac:dyDescent="0.3">
      <c r="C1543">
        <v>1543</v>
      </c>
    </row>
    <row r="1544" spans="3:3" x14ac:dyDescent="0.3">
      <c r="C1544">
        <v>1544</v>
      </c>
    </row>
    <row r="1545" spans="3:3" x14ac:dyDescent="0.3">
      <c r="C1545">
        <v>1545</v>
      </c>
    </row>
    <row r="1546" spans="3:3" x14ac:dyDescent="0.3">
      <c r="C1546">
        <v>1546</v>
      </c>
    </row>
    <row r="1547" spans="3:3" x14ac:dyDescent="0.3">
      <c r="C1547">
        <v>1547</v>
      </c>
    </row>
    <row r="1548" spans="3:3" x14ac:dyDescent="0.3">
      <c r="C1548">
        <v>1548</v>
      </c>
    </row>
    <row r="1549" spans="3:3" x14ac:dyDescent="0.3">
      <c r="C1549">
        <v>1549</v>
      </c>
    </row>
    <row r="1550" spans="3:3" x14ac:dyDescent="0.3">
      <c r="C1550">
        <v>1550</v>
      </c>
    </row>
    <row r="1551" spans="3:3" x14ac:dyDescent="0.3">
      <c r="C1551">
        <v>1551</v>
      </c>
    </row>
    <row r="1552" spans="3:3" x14ac:dyDescent="0.3">
      <c r="C1552">
        <v>1552</v>
      </c>
    </row>
    <row r="1553" spans="3:3" x14ac:dyDescent="0.3">
      <c r="C1553">
        <v>1553</v>
      </c>
    </row>
    <row r="1554" spans="3:3" x14ac:dyDescent="0.3">
      <c r="C1554">
        <v>1554</v>
      </c>
    </row>
    <row r="1555" spans="3:3" x14ac:dyDescent="0.3">
      <c r="C1555">
        <v>1555</v>
      </c>
    </row>
    <row r="1556" spans="3:3" x14ac:dyDescent="0.3">
      <c r="C1556">
        <v>1556</v>
      </c>
    </row>
    <row r="1557" spans="3:3" x14ac:dyDescent="0.3">
      <c r="C1557">
        <v>1557</v>
      </c>
    </row>
    <row r="1558" spans="3:3" x14ac:dyDescent="0.3">
      <c r="C1558">
        <v>1558</v>
      </c>
    </row>
    <row r="1559" spans="3:3" x14ac:dyDescent="0.3">
      <c r="C1559">
        <v>1559</v>
      </c>
    </row>
    <row r="1560" spans="3:3" x14ac:dyDescent="0.3">
      <c r="C1560">
        <v>1560</v>
      </c>
    </row>
    <row r="1561" spans="3:3" x14ac:dyDescent="0.3">
      <c r="C1561">
        <v>1561</v>
      </c>
    </row>
    <row r="1562" spans="3:3" x14ac:dyDescent="0.3">
      <c r="C1562">
        <v>1562</v>
      </c>
    </row>
    <row r="1563" spans="3:3" x14ac:dyDescent="0.3">
      <c r="C1563">
        <v>1563</v>
      </c>
    </row>
    <row r="1564" spans="3:3" x14ac:dyDescent="0.3">
      <c r="C1564">
        <v>1564</v>
      </c>
    </row>
    <row r="1565" spans="3:3" x14ac:dyDescent="0.3">
      <c r="C1565">
        <v>1565</v>
      </c>
    </row>
    <row r="1566" spans="3:3" x14ac:dyDescent="0.3">
      <c r="C1566">
        <v>1566</v>
      </c>
    </row>
    <row r="1567" spans="3:3" x14ac:dyDescent="0.3">
      <c r="C1567">
        <v>1567</v>
      </c>
    </row>
    <row r="1568" spans="3:3" x14ac:dyDescent="0.3">
      <c r="C1568">
        <v>1568</v>
      </c>
    </row>
    <row r="1569" spans="3:3" x14ac:dyDescent="0.3">
      <c r="C1569">
        <v>1569</v>
      </c>
    </row>
    <row r="1570" spans="3:3" x14ac:dyDescent="0.3">
      <c r="C1570">
        <v>1570</v>
      </c>
    </row>
    <row r="1571" spans="3:3" x14ac:dyDescent="0.3">
      <c r="C1571">
        <v>1571</v>
      </c>
    </row>
    <row r="1572" spans="3:3" x14ac:dyDescent="0.3">
      <c r="C1572">
        <v>1572</v>
      </c>
    </row>
    <row r="1573" spans="3:3" x14ac:dyDescent="0.3">
      <c r="C1573">
        <v>1573</v>
      </c>
    </row>
    <row r="1574" spans="3:3" x14ac:dyDescent="0.3">
      <c r="C1574">
        <v>1574</v>
      </c>
    </row>
    <row r="1575" spans="3:3" x14ac:dyDescent="0.3">
      <c r="C1575">
        <v>1575</v>
      </c>
    </row>
    <row r="1576" spans="3:3" x14ac:dyDescent="0.3">
      <c r="C1576">
        <v>1576</v>
      </c>
    </row>
    <row r="1577" spans="3:3" x14ac:dyDescent="0.3">
      <c r="C1577">
        <v>1577</v>
      </c>
    </row>
    <row r="1578" spans="3:3" x14ac:dyDescent="0.3">
      <c r="C1578">
        <v>1578</v>
      </c>
    </row>
    <row r="1579" spans="3:3" x14ac:dyDescent="0.3">
      <c r="C1579">
        <v>1579</v>
      </c>
    </row>
    <row r="1580" spans="3:3" x14ac:dyDescent="0.3">
      <c r="C1580">
        <v>1580</v>
      </c>
    </row>
    <row r="1581" spans="3:3" x14ac:dyDescent="0.3">
      <c r="C1581">
        <v>1581</v>
      </c>
    </row>
    <row r="1582" spans="3:3" x14ac:dyDescent="0.3">
      <c r="C1582">
        <v>1582</v>
      </c>
    </row>
    <row r="1583" spans="3:3" x14ac:dyDescent="0.3">
      <c r="C1583">
        <v>1583</v>
      </c>
    </row>
    <row r="1584" spans="3:3" x14ac:dyDescent="0.3">
      <c r="C1584">
        <v>1584</v>
      </c>
    </row>
    <row r="1585" spans="3:3" x14ac:dyDescent="0.3">
      <c r="C1585">
        <v>1585</v>
      </c>
    </row>
    <row r="1586" spans="3:3" x14ac:dyDescent="0.3">
      <c r="C1586">
        <v>1586</v>
      </c>
    </row>
    <row r="1587" spans="3:3" x14ac:dyDescent="0.3">
      <c r="C1587">
        <v>1587</v>
      </c>
    </row>
    <row r="1588" spans="3:3" x14ac:dyDescent="0.3">
      <c r="C1588">
        <v>1588</v>
      </c>
    </row>
    <row r="1589" spans="3:3" x14ac:dyDescent="0.3">
      <c r="C1589">
        <v>1589</v>
      </c>
    </row>
    <row r="1590" spans="3:3" x14ac:dyDescent="0.3">
      <c r="C1590">
        <v>1590</v>
      </c>
    </row>
    <row r="1591" spans="3:3" x14ac:dyDescent="0.3">
      <c r="C1591">
        <v>1591</v>
      </c>
    </row>
    <row r="1592" spans="3:3" x14ac:dyDescent="0.3">
      <c r="C1592">
        <v>1592</v>
      </c>
    </row>
    <row r="1593" spans="3:3" x14ac:dyDescent="0.3">
      <c r="C1593">
        <v>1593</v>
      </c>
    </row>
    <row r="1594" spans="3:3" x14ac:dyDescent="0.3">
      <c r="C1594">
        <v>1594</v>
      </c>
    </row>
    <row r="1595" spans="3:3" x14ac:dyDescent="0.3">
      <c r="C1595">
        <v>1595</v>
      </c>
    </row>
    <row r="1596" spans="3:3" x14ac:dyDescent="0.3">
      <c r="C1596">
        <v>1596</v>
      </c>
    </row>
    <row r="1597" spans="3:3" x14ac:dyDescent="0.3">
      <c r="C1597">
        <v>1597</v>
      </c>
    </row>
    <row r="1598" spans="3:3" x14ac:dyDescent="0.3">
      <c r="C1598">
        <v>1598</v>
      </c>
    </row>
    <row r="1599" spans="3:3" x14ac:dyDescent="0.3">
      <c r="C1599">
        <v>1599</v>
      </c>
    </row>
    <row r="1600" spans="3:3" x14ac:dyDescent="0.3">
      <c r="C1600">
        <v>1600</v>
      </c>
    </row>
    <row r="1601" spans="3:3" x14ac:dyDescent="0.3">
      <c r="C1601">
        <v>1601</v>
      </c>
    </row>
    <row r="1602" spans="3:3" x14ac:dyDescent="0.3">
      <c r="C1602">
        <v>1602</v>
      </c>
    </row>
    <row r="1603" spans="3:3" x14ac:dyDescent="0.3">
      <c r="C1603">
        <v>1603</v>
      </c>
    </row>
    <row r="1604" spans="3:3" x14ac:dyDescent="0.3">
      <c r="C1604">
        <v>1604</v>
      </c>
    </row>
    <row r="1605" spans="3:3" x14ac:dyDescent="0.3">
      <c r="C1605">
        <v>1605</v>
      </c>
    </row>
    <row r="1606" spans="3:3" x14ac:dyDescent="0.3">
      <c r="C1606">
        <v>1606</v>
      </c>
    </row>
    <row r="1607" spans="3:3" x14ac:dyDescent="0.3">
      <c r="C1607">
        <v>1607</v>
      </c>
    </row>
    <row r="1608" spans="3:3" x14ac:dyDescent="0.3">
      <c r="C1608">
        <v>1608</v>
      </c>
    </row>
    <row r="1609" spans="3:3" x14ac:dyDescent="0.3">
      <c r="C1609">
        <v>1609</v>
      </c>
    </row>
    <row r="1610" spans="3:3" x14ac:dyDescent="0.3">
      <c r="C1610">
        <v>1610</v>
      </c>
    </row>
    <row r="1611" spans="3:3" x14ac:dyDescent="0.3">
      <c r="C1611">
        <v>1611</v>
      </c>
    </row>
    <row r="1612" spans="3:3" x14ac:dyDescent="0.3">
      <c r="C1612">
        <v>1612</v>
      </c>
    </row>
    <row r="1613" spans="3:3" x14ac:dyDescent="0.3">
      <c r="C1613">
        <v>1613</v>
      </c>
    </row>
    <row r="1614" spans="3:3" x14ac:dyDescent="0.3">
      <c r="C1614">
        <v>1614</v>
      </c>
    </row>
    <row r="1615" spans="3:3" x14ac:dyDescent="0.3">
      <c r="C1615">
        <v>1615</v>
      </c>
    </row>
    <row r="1616" spans="3:3" x14ac:dyDescent="0.3">
      <c r="C1616">
        <v>1616</v>
      </c>
    </row>
    <row r="1617" spans="3:3" x14ac:dyDescent="0.3">
      <c r="C1617">
        <v>1617</v>
      </c>
    </row>
    <row r="1618" spans="3:3" x14ac:dyDescent="0.3">
      <c r="C1618">
        <v>1618</v>
      </c>
    </row>
    <row r="1619" spans="3:3" x14ac:dyDescent="0.3">
      <c r="C1619">
        <v>1619</v>
      </c>
    </row>
    <row r="1620" spans="3:3" x14ac:dyDescent="0.3">
      <c r="C1620">
        <v>1620</v>
      </c>
    </row>
    <row r="1621" spans="3:3" x14ac:dyDescent="0.3">
      <c r="C1621">
        <v>1621</v>
      </c>
    </row>
    <row r="1622" spans="3:3" x14ac:dyDescent="0.3">
      <c r="C1622">
        <v>1622</v>
      </c>
    </row>
    <row r="1623" spans="3:3" x14ac:dyDescent="0.3">
      <c r="C1623">
        <v>1623</v>
      </c>
    </row>
    <row r="1624" spans="3:3" x14ac:dyDescent="0.3">
      <c r="C1624">
        <v>1624</v>
      </c>
    </row>
    <row r="1625" spans="3:3" x14ac:dyDescent="0.3">
      <c r="C1625">
        <v>1625</v>
      </c>
    </row>
    <row r="1626" spans="3:3" x14ac:dyDescent="0.3">
      <c r="C1626">
        <v>1626</v>
      </c>
    </row>
    <row r="1627" spans="3:3" x14ac:dyDescent="0.3">
      <c r="C1627">
        <v>1627</v>
      </c>
    </row>
    <row r="1628" spans="3:3" x14ac:dyDescent="0.3">
      <c r="C1628">
        <v>1628</v>
      </c>
    </row>
    <row r="1629" spans="3:3" x14ac:dyDescent="0.3">
      <c r="C1629">
        <v>1629</v>
      </c>
    </row>
    <row r="1630" spans="3:3" x14ac:dyDescent="0.3">
      <c r="C1630">
        <v>1630</v>
      </c>
    </row>
    <row r="1631" spans="3:3" x14ac:dyDescent="0.3">
      <c r="C1631">
        <v>1631</v>
      </c>
    </row>
    <row r="1632" spans="3:3" x14ac:dyDescent="0.3">
      <c r="C1632">
        <v>1632</v>
      </c>
    </row>
    <row r="1633" spans="3:3" x14ac:dyDescent="0.3">
      <c r="C1633">
        <v>1633</v>
      </c>
    </row>
    <row r="1634" spans="3:3" x14ac:dyDescent="0.3">
      <c r="C1634">
        <v>1634</v>
      </c>
    </row>
    <row r="1635" spans="3:3" x14ac:dyDescent="0.3">
      <c r="C1635">
        <v>1635</v>
      </c>
    </row>
    <row r="1636" spans="3:3" x14ac:dyDescent="0.3">
      <c r="C1636">
        <v>1636</v>
      </c>
    </row>
    <row r="1637" spans="3:3" x14ac:dyDescent="0.3">
      <c r="C1637">
        <v>1637</v>
      </c>
    </row>
    <row r="1638" spans="3:3" x14ac:dyDescent="0.3">
      <c r="C1638">
        <v>1638</v>
      </c>
    </row>
    <row r="1639" spans="3:3" x14ac:dyDescent="0.3">
      <c r="C1639">
        <v>1639</v>
      </c>
    </row>
    <row r="1640" spans="3:3" x14ac:dyDescent="0.3">
      <c r="C1640">
        <v>1640</v>
      </c>
    </row>
    <row r="1641" spans="3:3" x14ac:dyDescent="0.3">
      <c r="C1641">
        <v>1641</v>
      </c>
    </row>
    <row r="1642" spans="3:3" x14ac:dyDescent="0.3">
      <c r="C1642">
        <v>1642</v>
      </c>
    </row>
    <row r="1643" spans="3:3" x14ac:dyDescent="0.3">
      <c r="C1643">
        <v>1643</v>
      </c>
    </row>
    <row r="1644" spans="3:3" x14ac:dyDescent="0.3">
      <c r="C1644">
        <v>1644</v>
      </c>
    </row>
    <row r="1645" spans="3:3" x14ac:dyDescent="0.3">
      <c r="C1645">
        <v>1645</v>
      </c>
    </row>
    <row r="1646" spans="3:3" x14ac:dyDescent="0.3">
      <c r="C1646">
        <v>1646</v>
      </c>
    </row>
    <row r="1647" spans="3:3" x14ac:dyDescent="0.3">
      <c r="C1647">
        <v>1647</v>
      </c>
    </row>
    <row r="1648" spans="3:3" x14ac:dyDescent="0.3">
      <c r="C1648">
        <v>1648</v>
      </c>
    </row>
    <row r="1649" spans="3:3" x14ac:dyDescent="0.3">
      <c r="C1649">
        <v>1649</v>
      </c>
    </row>
    <row r="1650" spans="3:3" x14ac:dyDescent="0.3">
      <c r="C1650">
        <v>1650</v>
      </c>
    </row>
    <row r="1651" spans="3:3" x14ac:dyDescent="0.3">
      <c r="C1651">
        <v>1651</v>
      </c>
    </row>
    <row r="1652" spans="3:3" x14ac:dyDescent="0.3">
      <c r="C1652">
        <v>1652</v>
      </c>
    </row>
    <row r="1653" spans="3:3" x14ac:dyDescent="0.3">
      <c r="C1653">
        <v>1653</v>
      </c>
    </row>
    <row r="1654" spans="3:3" x14ac:dyDescent="0.3">
      <c r="C1654">
        <v>1654</v>
      </c>
    </row>
    <row r="1655" spans="3:3" x14ac:dyDescent="0.3">
      <c r="C1655">
        <v>1655</v>
      </c>
    </row>
    <row r="1656" spans="3:3" x14ac:dyDescent="0.3">
      <c r="C1656">
        <v>1656</v>
      </c>
    </row>
    <row r="1657" spans="3:3" x14ac:dyDescent="0.3">
      <c r="C1657">
        <v>1657</v>
      </c>
    </row>
    <row r="1658" spans="3:3" x14ac:dyDescent="0.3">
      <c r="C1658">
        <v>1658</v>
      </c>
    </row>
    <row r="1659" spans="3:3" x14ac:dyDescent="0.3">
      <c r="C1659">
        <v>1659</v>
      </c>
    </row>
    <row r="1660" spans="3:3" x14ac:dyDescent="0.3">
      <c r="C1660">
        <v>1660</v>
      </c>
    </row>
    <row r="1661" spans="3:3" x14ac:dyDescent="0.3">
      <c r="C1661">
        <v>1661</v>
      </c>
    </row>
    <row r="1662" spans="3:3" x14ac:dyDescent="0.3">
      <c r="C1662">
        <v>1662</v>
      </c>
    </row>
    <row r="1663" spans="3:3" x14ac:dyDescent="0.3">
      <c r="C1663">
        <v>1663</v>
      </c>
    </row>
    <row r="1664" spans="3:3" x14ac:dyDescent="0.3">
      <c r="C1664">
        <v>1664</v>
      </c>
    </row>
    <row r="1665" spans="3:3" x14ac:dyDescent="0.3">
      <c r="C1665">
        <v>1665</v>
      </c>
    </row>
    <row r="1666" spans="3:3" x14ac:dyDescent="0.3">
      <c r="C1666">
        <v>1666</v>
      </c>
    </row>
    <row r="1667" spans="3:3" x14ac:dyDescent="0.3">
      <c r="C1667">
        <v>1667</v>
      </c>
    </row>
    <row r="1668" spans="3:3" x14ac:dyDescent="0.3">
      <c r="C1668">
        <v>1668</v>
      </c>
    </row>
    <row r="1669" spans="3:3" x14ac:dyDescent="0.3">
      <c r="C1669">
        <v>1669</v>
      </c>
    </row>
    <row r="1670" spans="3:3" x14ac:dyDescent="0.3">
      <c r="C1670">
        <v>1670</v>
      </c>
    </row>
    <row r="1671" spans="3:3" x14ac:dyDescent="0.3">
      <c r="C1671">
        <v>1671</v>
      </c>
    </row>
    <row r="1672" spans="3:3" x14ac:dyDescent="0.3">
      <c r="C1672">
        <v>1672</v>
      </c>
    </row>
    <row r="1673" spans="3:3" x14ac:dyDescent="0.3">
      <c r="C1673">
        <v>1673</v>
      </c>
    </row>
    <row r="1674" spans="3:3" x14ac:dyDescent="0.3">
      <c r="C1674">
        <v>1674</v>
      </c>
    </row>
    <row r="1675" spans="3:3" x14ac:dyDescent="0.3">
      <c r="C1675">
        <v>1675</v>
      </c>
    </row>
    <row r="1676" spans="3:3" x14ac:dyDescent="0.3">
      <c r="C1676">
        <v>1676</v>
      </c>
    </row>
    <row r="1677" spans="3:3" x14ac:dyDescent="0.3">
      <c r="C1677">
        <v>1677</v>
      </c>
    </row>
    <row r="1678" spans="3:3" x14ac:dyDescent="0.3">
      <c r="C1678">
        <v>1678</v>
      </c>
    </row>
    <row r="1679" spans="3:3" x14ac:dyDescent="0.3">
      <c r="C1679">
        <v>1679</v>
      </c>
    </row>
    <row r="1680" spans="3:3" x14ac:dyDescent="0.3">
      <c r="C1680">
        <v>1680</v>
      </c>
    </row>
    <row r="1681" spans="3:3" x14ac:dyDescent="0.3">
      <c r="C1681">
        <v>1681</v>
      </c>
    </row>
    <row r="1682" spans="3:3" x14ac:dyDescent="0.3">
      <c r="C1682">
        <v>1682</v>
      </c>
    </row>
    <row r="1683" spans="3:3" x14ac:dyDescent="0.3">
      <c r="C1683">
        <v>1683</v>
      </c>
    </row>
    <row r="1684" spans="3:3" x14ac:dyDescent="0.3">
      <c r="C1684">
        <v>1684</v>
      </c>
    </row>
    <row r="1685" spans="3:3" x14ac:dyDescent="0.3">
      <c r="C1685">
        <v>1685</v>
      </c>
    </row>
    <row r="1686" spans="3:3" x14ac:dyDescent="0.3">
      <c r="C1686">
        <v>1686</v>
      </c>
    </row>
    <row r="1687" spans="3:3" x14ac:dyDescent="0.3">
      <c r="C1687">
        <v>1687</v>
      </c>
    </row>
    <row r="1688" spans="3:3" x14ac:dyDescent="0.3">
      <c r="C1688">
        <v>1688</v>
      </c>
    </row>
    <row r="1689" spans="3:3" x14ac:dyDescent="0.3">
      <c r="C1689">
        <v>1689</v>
      </c>
    </row>
    <row r="1690" spans="3:3" x14ac:dyDescent="0.3">
      <c r="C1690">
        <v>1690</v>
      </c>
    </row>
    <row r="1691" spans="3:3" x14ac:dyDescent="0.3">
      <c r="C1691">
        <v>1691</v>
      </c>
    </row>
    <row r="1692" spans="3:3" x14ac:dyDescent="0.3">
      <c r="C1692">
        <v>1692</v>
      </c>
    </row>
    <row r="1693" spans="3:3" x14ac:dyDescent="0.3">
      <c r="C1693">
        <v>1693</v>
      </c>
    </row>
    <row r="1694" spans="3:3" x14ac:dyDescent="0.3">
      <c r="C1694">
        <v>1694</v>
      </c>
    </row>
    <row r="1695" spans="3:3" x14ac:dyDescent="0.3">
      <c r="C1695">
        <v>1695</v>
      </c>
    </row>
    <row r="1696" spans="3:3" x14ac:dyDescent="0.3">
      <c r="C1696">
        <v>1696</v>
      </c>
    </row>
    <row r="1697" spans="3:3" x14ac:dyDescent="0.3">
      <c r="C1697">
        <v>1697</v>
      </c>
    </row>
    <row r="1698" spans="3:3" x14ac:dyDescent="0.3">
      <c r="C1698">
        <v>1698</v>
      </c>
    </row>
    <row r="1699" spans="3:3" x14ac:dyDescent="0.3">
      <c r="C1699">
        <v>1699</v>
      </c>
    </row>
    <row r="1700" spans="3:3" x14ac:dyDescent="0.3">
      <c r="C1700">
        <v>1700</v>
      </c>
    </row>
    <row r="1701" spans="3:3" x14ac:dyDescent="0.3">
      <c r="C1701">
        <v>1701</v>
      </c>
    </row>
    <row r="1702" spans="3:3" x14ac:dyDescent="0.3">
      <c r="C1702">
        <v>1702</v>
      </c>
    </row>
    <row r="1703" spans="3:3" x14ac:dyDescent="0.3">
      <c r="C1703">
        <v>1703</v>
      </c>
    </row>
    <row r="1704" spans="3:3" x14ac:dyDescent="0.3">
      <c r="C1704">
        <v>1704</v>
      </c>
    </row>
    <row r="1705" spans="3:3" x14ac:dyDescent="0.3">
      <c r="C1705">
        <v>1705</v>
      </c>
    </row>
    <row r="1706" spans="3:3" x14ac:dyDescent="0.3">
      <c r="C1706">
        <v>1706</v>
      </c>
    </row>
    <row r="1707" spans="3:3" x14ac:dyDescent="0.3">
      <c r="C1707">
        <v>1707</v>
      </c>
    </row>
    <row r="1708" spans="3:3" x14ac:dyDescent="0.3">
      <c r="C1708">
        <v>1708</v>
      </c>
    </row>
    <row r="1709" spans="3:3" x14ac:dyDescent="0.3">
      <c r="C1709">
        <v>1709</v>
      </c>
    </row>
    <row r="1710" spans="3:3" x14ac:dyDescent="0.3">
      <c r="C1710">
        <v>1710</v>
      </c>
    </row>
    <row r="1711" spans="3:3" x14ac:dyDescent="0.3">
      <c r="C1711">
        <v>1711</v>
      </c>
    </row>
    <row r="1712" spans="3:3" x14ac:dyDescent="0.3">
      <c r="C1712">
        <v>1712</v>
      </c>
    </row>
    <row r="1713" spans="3:3" x14ac:dyDescent="0.3">
      <c r="C1713">
        <v>1713</v>
      </c>
    </row>
    <row r="1714" spans="3:3" x14ac:dyDescent="0.3">
      <c r="C1714">
        <v>1714</v>
      </c>
    </row>
    <row r="1715" spans="3:3" x14ac:dyDescent="0.3">
      <c r="C1715">
        <v>1715</v>
      </c>
    </row>
    <row r="1716" spans="3:3" x14ac:dyDescent="0.3">
      <c r="C1716">
        <v>1716</v>
      </c>
    </row>
    <row r="1717" spans="3:3" x14ac:dyDescent="0.3">
      <c r="C1717">
        <v>1717</v>
      </c>
    </row>
    <row r="1718" spans="3:3" x14ac:dyDescent="0.3">
      <c r="C1718">
        <v>1718</v>
      </c>
    </row>
    <row r="1719" spans="3:3" x14ac:dyDescent="0.3">
      <c r="C1719">
        <v>1719</v>
      </c>
    </row>
    <row r="1720" spans="3:3" x14ac:dyDescent="0.3">
      <c r="C1720">
        <v>1720</v>
      </c>
    </row>
    <row r="1721" spans="3:3" x14ac:dyDescent="0.3">
      <c r="C1721">
        <v>1721</v>
      </c>
    </row>
    <row r="1722" spans="3:3" x14ac:dyDescent="0.3">
      <c r="C1722">
        <v>1722</v>
      </c>
    </row>
    <row r="1723" spans="3:3" x14ac:dyDescent="0.3">
      <c r="C1723">
        <v>1723</v>
      </c>
    </row>
    <row r="1724" spans="3:3" x14ac:dyDescent="0.3">
      <c r="C1724">
        <v>1724</v>
      </c>
    </row>
    <row r="1725" spans="3:3" x14ac:dyDescent="0.3">
      <c r="C1725">
        <v>1725</v>
      </c>
    </row>
    <row r="1726" spans="3:3" x14ac:dyDescent="0.3">
      <c r="C1726">
        <v>1726</v>
      </c>
    </row>
    <row r="1727" spans="3:3" x14ac:dyDescent="0.3">
      <c r="C1727">
        <v>1727</v>
      </c>
    </row>
    <row r="1728" spans="3:3" x14ac:dyDescent="0.3">
      <c r="C1728">
        <v>1728</v>
      </c>
    </row>
    <row r="1729" spans="3:3" x14ac:dyDescent="0.3">
      <c r="C1729">
        <v>1729</v>
      </c>
    </row>
    <row r="1730" spans="3:3" x14ac:dyDescent="0.3">
      <c r="C1730">
        <v>1730</v>
      </c>
    </row>
    <row r="1731" spans="3:3" x14ac:dyDescent="0.3">
      <c r="C1731">
        <v>1731</v>
      </c>
    </row>
    <row r="1732" spans="3:3" x14ac:dyDescent="0.3">
      <c r="C1732">
        <v>1732</v>
      </c>
    </row>
    <row r="1733" spans="3:3" x14ac:dyDescent="0.3">
      <c r="C1733">
        <v>1733</v>
      </c>
    </row>
    <row r="1734" spans="3:3" x14ac:dyDescent="0.3">
      <c r="C1734">
        <v>1734</v>
      </c>
    </row>
    <row r="1735" spans="3:3" x14ac:dyDescent="0.3">
      <c r="C1735">
        <v>1735</v>
      </c>
    </row>
    <row r="1736" spans="3:3" x14ac:dyDescent="0.3">
      <c r="C1736">
        <v>1736</v>
      </c>
    </row>
    <row r="1737" spans="3:3" x14ac:dyDescent="0.3">
      <c r="C1737">
        <v>1737</v>
      </c>
    </row>
    <row r="1738" spans="3:3" x14ac:dyDescent="0.3">
      <c r="C1738">
        <v>1738</v>
      </c>
    </row>
    <row r="1739" spans="3:3" x14ac:dyDescent="0.3">
      <c r="C1739">
        <v>1739</v>
      </c>
    </row>
    <row r="1740" spans="3:3" x14ac:dyDescent="0.3">
      <c r="C1740">
        <v>1740</v>
      </c>
    </row>
    <row r="1741" spans="3:3" x14ac:dyDescent="0.3">
      <c r="C1741">
        <v>1741</v>
      </c>
    </row>
    <row r="1742" spans="3:3" x14ac:dyDescent="0.3">
      <c r="C1742">
        <v>1742</v>
      </c>
    </row>
    <row r="1743" spans="3:3" x14ac:dyDescent="0.3">
      <c r="C1743">
        <v>1743</v>
      </c>
    </row>
    <row r="1744" spans="3:3" x14ac:dyDescent="0.3">
      <c r="C1744">
        <v>1744</v>
      </c>
    </row>
    <row r="1745" spans="3:3" x14ac:dyDescent="0.3">
      <c r="C1745">
        <v>1745</v>
      </c>
    </row>
    <row r="1746" spans="3:3" x14ac:dyDescent="0.3">
      <c r="C1746">
        <v>1746</v>
      </c>
    </row>
    <row r="1747" spans="3:3" x14ac:dyDescent="0.3">
      <c r="C1747">
        <v>1747</v>
      </c>
    </row>
    <row r="1748" spans="3:3" x14ac:dyDescent="0.3">
      <c r="C1748">
        <v>1748</v>
      </c>
    </row>
    <row r="1749" spans="3:3" x14ac:dyDescent="0.3">
      <c r="C1749">
        <v>1749</v>
      </c>
    </row>
    <row r="1750" spans="3:3" x14ac:dyDescent="0.3">
      <c r="C1750">
        <v>1750</v>
      </c>
    </row>
    <row r="1751" spans="3:3" x14ac:dyDescent="0.3">
      <c r="C1751">
        <v>1751</v>
      </c>
    </row>
    <row r="1752" spans="3:3" x14ac:dyDescent="0.3">
      <c r="C1752">
        <v>1752</v>
      </c>
    </row>
    <row r="1753" spans="3:3" x14ac:dyDescent="0.3">
      <c r="C1753">
        <v>1753</v>
      </c>
    </row>
    <row r="1754" spans="3:3" x14ac:dyDescent="0.3">
      <c r="C1754">
        <v>1754</v>
      </c>
    </row>
    <row r="1755" spans="3:3" x14ac:dyDescent="0.3">
      <c r="C1755">
        <v>1755</v>
      </c>
    </row>
    <row r="1756" spans="3:3" x14ac:dyDescent="0.3">
      <c r="C1756">
        <v>1756</v>
      </c>
    </row>
    <row r="1757" spans="3:3" x14ac:dyDescent="0.3">
      <c r="C1757">
        <v>1757</v>
      </c>
    </row>
    <row r="1758" spans="3:3" x14ac:dyDescent="0.3">
      <c r="C1758">
        <v>1758</v>
      </c>
    </row>
    <row r="1759" spans="3:3" x14ac:dyDescent="0.3">
      <c r="C1759">
        <v>1759</v>
      </c>
    </row>
    <row r="1760" spans="3:3" x14ac:dyDescent="0.3">
      <c r="C1760">
        <v>1760</v>
      </c>
    </row>
    <row r="1761" spans="3:3" x14ac:dyDescent="0.3">
      <c r="C1761">
        <v>1761</v>
      </c>
    </row>
    <row r="1762" spans="3:3" x14ac:dyDescent="0.3">
      <c r="C1762">
        <v>1762</v>
      </c>
    </row>
    <row r="1763" spans="3:3" x14ac:dyDescent="0.3">
      <c r="C1763">
        <v>1763</v>
      </c>
    </row>
    <row r="1764" spans="3:3" x14ac:dyDescent="0.3">
      <c r="C1764">
        <v>1764</v>
      </c>
    </row>
    <row r="1765" spans="3:3" x14ac:dyDescent="0.3">
      <c r="C1765">
        <v>1765</v>
      </c>
    </row>
    <row r="1766" spans="3:3" x14ac:dyDescent="0.3">
      <c r="C1766">
        <v>1766</v>
      </c>
    </row>
    <row r="1767" spans="3:3" x14ac:dyDescent="0.3">
      <c r="C1767">
        <v>1767</v>
      </c>
    </row>
    <row r="1768" spans="3:3" x14ac:dyDescent="0.3">
      <c r="C1768">
        <v>1768</v>
      </c>
    </row>
    <row r="1769" spans="3:3" x14ac:dyDescent="0.3">
      <c r="C1769">
        <v>1769</v>
      </c>
    </row>
    <row r="1770" spans="3:3" x14ac:dyDescent="0.3">
      <c r="C1770">
        <v>1770</v>
      </c>
    </row>
    <row r="1771" spans="3:3" x14ac:dyDescent="0.3">
      <c r="C1771">
        <v>1771</v>
      </c>
    </row>
    <row r="1772" spans="3:3" x14ac:dyDescent="0.3">
      <c r="C1772">
        <v>1772</v>
      </c>
    </row>
    <row r="1773" spans="3:3" x14ac:dyDescent="0.3">
      <c r="C1773">
        <v>1773</v>
      </c>
    </row>
    <row r="1774" spans="3:3" x14ac:dyDescent="0.3">
      <c r="C1774">
        <v>1774</v>
      </c>
    </row>
    <row r="1775" spans="3:3" x14ac:dyDescent="0.3">
      <c r="C1775">
        <v>1775</v>
      </c>
    </row>
    <row r="1776" spans="3:3" x14ac:dyDescent="0.3">
      <c r="C1776">
        <v>1776</v>
      </c>
    </row>
    <row r="1777" spans="3:3" x14ac:dyDescent="0.3">
      <c r="C1777">
        <v>1777</v>
      </c>
    </row>
    <row r="1778" spans="3:3" x14ac:dyDescent="0.3">
      <c r="C1778">
        <v>1778</v>
      </c>
    </row>
    <row r="1779" spans="3:3" x14ac:dyDescent="0.3">
      <c r="C1779">
        <v>1779</v>
      </c>
    </row>
    <row r="1780" spans="3:3" x14ac:dyDescent="0.3">
      <c r="C1780">
        <v>1780</v>
      </c>
    </row>
    <row r="1781" spans="3:3" x14ac:dyDescent="0.3">
      <c r="C1781">
        <v>1781</v>
      </c>
    </row>
    <row r="1782" spans="3:3" x14ac:dyDescent="0.3">
      <c r="C1782">
        <v>1782</v>
      </c>
    </row>
    <row r="1783" spans="3:3" x14ac:dyDescent="0.3">
      <c r="C1783">
        <v>1783</v>
      </c>
    </row>
    <row r="1784" spans="3:3" x14ac:dyDescent="0.3">
      <c r="C1784">
        <v>1784</v>
      </c>
    </row>
    <row r="1785" spans="3:3" x14ac:dyDescent="0.3">
      <c r="C1785">
        <v>1785</v>
      </c>
    </row>
    <row r="1786" spans="3:3" x14ac:dyDescent="0.3">
      <c r="C1786">
        <v>1786</v>
      </c>
    </row>
    <row r="1787" spans="3:3" x14ac:dyDescent="0.3">
      <c r="C1787">
        <v>1787</v>
      </c>
    </row>
    <row r="1788" spans="3:3" x14ac:dyDescent="0.3">
      <c r="C1788">
        <v>1788</v>
      </c>
    </row>
    <row r="1789" spans="3:3" x14ac:dyDescent="0.3">
      <c r="C1789">
        <v>1789</v>
      </c>
    </row>
    <row r="1790" spans="3:3" x14ac:dyDescent="0.3">
      <c r="C1790">
        <v>1790</v>
      </c>
    </row>
    <row r="1791" spans="3:3" x14ac:dyDescent="0.3">
      <c r="C1791">
        <v>1791</v>
      </c>
    </row>
    <row r="1792" spans="3:3" x14ac:dyDescent="0.3">
      <c r="C1792">
        <v>1792</v>
      </c>
    </row>
    <row r="1793" spans="3:3" x14ac:dyDescent="0.3">
      <c r="C1793">
        <v>1793</v>
      </c>
    </row>
    <row r="1794" spans="3:3" x14ac:dyDescent="0.3">
      <c r="C1794">
        <v>1794</v>
      </c>
    </row>
    <row r="1795" spans="3:3" x14ac:dyDescent="0.3">
      <c r="C1795">
        <v>1795</v>
      </c>
    </row>
    <row r="1796" spans="3:3" x14ac:dyDescent="0.3">
      <c r="C1796">
        <v>1796</v>
      </c>
    </row>
    <row r="1797" spans="3:3" x14ac:dyDescent="0.3">
      <c r="C1797">
        <v>1797</v>
      </c>
    </row>
    <row r="1798" spans="3:3" x14ac:dyDescent="0.3">
      <c r="C1798">
        <v>1798</v>
      </c>
    </row>
    <row r="1799" spans="3:3" x14ac:dyDescent="0.3">
      <c r="C1799">
        <v>1799</v>
      </c>
    </row>
    <row r="1800" spans="3:3" x14ac:dyDescent="0.3">
      <c r="C1800">
        <v>1800</v>
      </c>
    </row>
    <row r="1801" spans="3:3" x14ac:dyDescent="0.3">
      <c r="C1801">
        <v>1801</v>
      </c>
    </row>
    <row r="1802" spans="3:3" x14ac:dyDescent="0.3">
      <c r="C1802">
        <v>1802</v>
      </c>
    </row>
    <row r="1803" spans="3:3" x14ac:dyDescent="0.3">
      <c r="C1803">
        <v>1803</v>
      </c>
    </row>
    <row r="1804" spans="3:3" x14ac:dyDescent="0.3">
      <c r="C1804">
        <v>1804</v>
      </c>
    </row>
    <row r="1805" spans="3:3" x14ac:dyDescent="0.3">
      <c r="C1805">
        <v>1805</v>
      </c>
    </row>
    <row r="1806" spans="3:3" x14ac:dyDescent="0.3">
      <c r="C1806">
        <v>1806</v>
      </c>
    </row>
    <row r="1807" spans="3:3" x14ac:dyDescent="0.3">
      <c r="C1807">
        <v>1807</v>
      </c>
    </row>
    <row r="1808" spans="3:3" x14ac:dyDescent="0.3">
      <c r="C1808">
        <v>1808</v>
      </c>
    </row>
    <row r="1809" spans="3:3" x14ac:dyDescent="0.3">
      <c r="C1809">
        <v>1809</v>
      </c>
    </row>
    <row r="1810" spans="3:3" x14ac:dyDescent="0.3">
      <c r="C1810">
        <v>1810</v>
      </c>
    </row>
    <row r="1811" spans="3:3" x14ac:dyDescent="0.3">
      <c r="C1811">
        <v>1811</v>
      </c>
    </row>
    <row r="1812" spans="3:3" x14ac:dyDescent="0.3">
      <c r="C1812">
        <v>1812</v>
      </c>
    </row>
    <row r="1813" spans="3:3" x14ac:dyDescent="0.3">
      <c r="C1813">
        <v>1813</v>
      </c>
    </row>
    <row r="1814" spans="3:3" x14ac:dyDescent="0.3">
      <c r="C1814">
        <v>1814</v>
      </c>
    </row>
    <row r="1815" spans="3:3" x14ac:dyDescent="0.3">
      <c r="C1815">
        <v>1815</v>
      </c>
    </row>
    <row r="1816" spans="3:3" x14ac:dyDescent="0.3">
      <c r="C1816">
        <v>1816</v>
      </c>
    </row>
    <row r="1817" spans="3:3" x14ac:dyDescent="0.3">
      <c r="C1817">
        <v>1817</v>
      </c>
    </row>
    <row r="1818" spans="3:3" x14ac:dyDescent="0.3">
      <c r="C1818">
        <v>1818</v>
      </c>
    </row>
    <row r="1819" spans="3:3" x14ac:dyDescent="0.3">
      <c r="C1819">
        <v>1819</v>
      </c>
    </row>
    <row r="1820" spans="3:3" x14ac:dyDescent="0.3">
      <c r="C1820">
        <v>1820</v>
      </c>
    </row>
    <row r="1821" spans="3:3" x14ac:dyDescent="0.3">
      <c r="C1821">
        <v>1821</v>
      </c>
    </row>
    <row r="1822" spans="3:3" x14ac:dyDescent="0.3">
      <c r="C1822">
        <v>1822</v>
      </c>
    </row>
    <row r="1823" spans="3:3" x14ac:dyDescent="0.3">
      <c r="C1823">
        <v>1823</v>
      </c>
    </row>
    <row r="1824" spans="3:3" x14ac:dyDescent="0.3">
      <c r="C1824">
        <v>1824</v>
      </c>
    </row>
    <row r="1825" spans="3:3" x14ac:dyDescent="0.3">
      <c r="C1825">
        <v>1825</v>
      </c>
    </row>
    <row r="1826" spans="3:3" x14ac:dyDescent="0.3">
      <c r="C1826">
        <v>1826</v>
      </c>
    </row>
    <row r="1827" spans="3:3" x14ac:dyDescent="0.3">
      <c r="C1827">
        <v>1827</v>
      </c>
    </row>
    <row r="1828" spans="3:3" x14ac:dyDescent="0.3">
      <c r="C1828">
        <v>1828</v>
      </c>
    </row>
    <row r="1829" spans="3:3" x14ac:dyDescent="0.3">
      <c r="C1829">
        <v>1829</v>
      </c>
    </row>
    <row r="1830" spans="3:3" x14ac:dyDescent="0.3">
      <c r="C1830">
        <v>1830</v>
      </c>
    </row>
    <row r="1831" spans="3:3" x14ac:dyDescent="0.3">
      <c r="C1831">
        <v>1831</v>
      </c>
    </row>
    <row r="1832" spans="3:3" x14ac:dyDescent="0.3">
      <c r="C1832">
        <v>1832</v>
      </c>
    </row>
    <row r="1833" spans="3:3" x14ac:dyDescent="0.3">
      <c r="C1833">
        <v>1833</v>
      </c>
    </row>
    <row r="1834" spans="3:3" x14ac:dyDescent="0.3">
      <c r="C1834">
        <v>1834</v>
      </c>
    </row>
    <row r="1835" spans="3:3" x14ac:dyDescent="0.3">
      <c r="C1835">
        <v>1835</v>
      </c>
    </row>
    <row r="1836" spans="3:3" x14ac:dyDescent="0.3">
      <c r="C1836">
        <v>1836</v>
      </c>
    </row>
    <row r="1837" spans="3:3" x14ac:dyDescent="0.3">
      <c r="C1837">
        <v>1837</v>
      </c>
    </row>
    <row r="1838" spans="3:3" x14ac:dyDescent="0.3">
      <c r="C1838">
        <v>1838</v>
      </c>
    </row>
    <row r="1839" spans="3:3" x14ac:dyDescent="0.3">
      <c r="C1839">
        <v>1839</v>
      </c>
    </row>
    <row r="1840" spans="3:3" x14ac:dyDescent="0.3">
      <c r="C1840">
        <v>1840</v>
      </c>
    </row>
    <row r="1841" spans="3:3" x14ac:dyDescent="0.3">
      <c r="C1841">
        <v>1841</v>
      </c>
    </row>
    <row r="1842" spans="3:3" x14ac:dyDescent="0.3">
      <c r="C1842">
        <v>1842</v>
      </c>
    </row>
    <row r="1843" spans="3:3" x14ac:dyDescent="0.3">
      <c r="C1843">
        <v>1843</v>
      </c>
    </row>
    <row r="1844" spans="3:3" x14ac:dyDescent="0.3">
      <c r="C1844">
        <v>1844</v>
      </c>
    </row>
    <row r="1845" spans="3:3" x14ac:dyDescent="0.3">
      <c r="C1845">
        <v>1845</v>
      </c>
    </row>
    <row r="1846" spans="3:3" x14ac:dyDescent="0.3">
      <c r="C1846">
        <v>1846</v>
      </c>
    </row>
    <row r="1847" spans="3:3" x14ac:dyDescent="0.3">
      <c r="C1847">
        <v>1847</v>
      </c>
    </row>
    <row r="1848" spans="3:3" x14ac:dyDescent="0.3">
      <c r="C1848">
        <v>1848</v>
      </c>
    </row>
    <row r="1849" spans="3:3" x14ac:dyDescent="0.3">
      <c r="C1849">
        <v>1849</v>
      </c>
    </row>
    <row r="1850" spans="3:3" x14ac:dyDescent="0.3">
      <c r="C1850">
        <v>1850</v>
      </c>
    </row>
    <row r="1851" spans="3:3" x14ac:dyDescent="0.3">
      <c r="C1851">
        <v>1851</v>
      </c>
    </row>
    <row r="1852" spans="3:3" x14ac:dyDescent="0.3">
      <c r="C1852">
        <v>1852</v>
      </c>
    </row>
    <row r="1853" spans="3:3" x14ac:dyDescent="0.3">
      <c r="C1853">
        <v>1853</v>
      </c>
    </row>
    <row r="1854" spans="3:3" x14ac:dyDescent="0.3">
      <c r="C1854">
        <v>1854</v>
      </c>
    </row>
    <row r="1855" spans="3:3" x14ac:dyDescent="0.3">
      <c r="C1855">
        <v>1855</v>
      </c>
    </row>
    <row r="1856" spans="3:3" x14ac:dyDescent="0.3">
      <c r="C1856">
        <v>1856</v>
      </c>
    </row>
    <row r="1857" spans="3:3" x14ac:dyDescent="0.3">
      <c r="C1857">
        <v>1857</v>
      </c>
    </row>
    <row r="1858" spans="3:3" x14ac:dyDescent="0.3">
      <c r="C1858">
        <v>1858</v>
      </c>
    </row>
    <row r="1859" spans="3:3" x14ac:dyDescent="0.3">
      <c r="C1859">
        <v>1859</v>
      </c>
    </row>
    <row r="1860" spans="3:3" x14ac:dyDescent="0.3">
      <c r="C1860">
        <v>1860</v>
      </c>
    </row>
    <row r="1861" spans="3:3" x14ac:dyDescent="0.3">
      <c r="C1861">
        <v>1861</v>
      </c>
    </row>
    <row r="1862" spans="3:3" x14ac:dyDescent="0.3">
      <c r="C1862">
        <v>1862</v>
      </c>
    </row>
    <row r="1863" spans="3:3" x14ac:dyDescent="0.3">
      <c r="C1863">
        <v>1863</v>
      </c>
    </row>
    <row r="1864" spans="3:3" x14ac:dyDescent="0.3">
      <c r="C1864">
        <v>1864</v>
      </c>
    </row>
    <row r="1865" spans="3:3" x14ac:dyDescent="0.3">
      <c r="C1865">
        <v>1865</v>
      </c>
    </row>
    <row r="1866" spans="3:3" x14ac:dyDescent="0.3">
      <c r="C1866">
        <v>1866</v>
      </c>
    </row>
    <row r="1867" spans="3:3" x14ac:dyDescent="0.3">
      <c r="C1867">
        <v>1867</v>
      </c>
    </row>
    <row r="1868" spans="3:3" x14ac:dyDescent="0.3">
      <c r="C1868">
        <v>1868</v>
      </c>
    </row>
    <row r="1869" spans="3:3" x14ac:dyDescent="0.3">
      <c r="C1869">
        <v>1869</v>
      </c>
    </row>
    <row r="1870" spans="3:3" x14ac:dyDescent="0.3">
      <c r="C1870">
        <v>1870</v>
      </c>
    </row>
    <row r="1871" spans="3:3" x14ac:dyDescent="0.3">
      <c r="C1871">
        <v>1871</v>
      </c>
    </row>
    <row r="1872" spans="3:3" x14ac:dyDescent="0.3">
      <c r="C1872">
        <v>1872</v>
      </c>
    </row>
    <row r="1873" spans="3:3" x14ac:dyDescent="0.3">
      <c r="C1873">
        <v>1873</v>
      </c>
    </row>
    <row r="1874" spans="3:3" x14ac:dyDescent="0.3">
      <c r="C1874">
        <v>1874</v>
      </c>
    </row>
    <row r="1875" spans="3:3" x14ac:dyDescent="0.3">
      <c r="C1875">
        <v>1875</v>
      </c>
    </row>
    <row r="1876" spans="3:3" x14ac:dyDescent="0.3">
      <c r="C1876">
        <v>1876</v>
      </c>
    </row>
    <row r="1877" spans="3:3" x14ac:dyDescent="0.3">
      <c r="C1877">
        <v>1877</v>
      </c>
    </row>
    <row r="1878" spans="3:3" x14ac:dyDescent="0.3">
      <c r="C1878">
        <v>1878</v>
      </c>
    </row>
    <row r="1879" spans="3:3" x14ac:dyDescent="0.3">
      <c r="C1879">
        <v>1879</v>
      </c>
    </row>
    <row r="1880" spans="3:3" x14ac:dyDescent="0.3">
      <c r="C1880">
        <v>1880</v>
      </c>
    </row>
    <row r="1881" spans="3:3" x14ac:dyDescent="0.3">
      <c r="C1881">
        <v>1881</v>
      </c>
    </row>
    <row r="1882" spans="3:3" x14ac:dyDescent="0.3">
      <c r="C1882">
        <v>1882</v>
      </c>
    </row>
    <row r="1883" spans="3:3" x14ac:dyDescent="0.3">
      <c r="C1883">
        <v>1883</v>
      </c>
    </row>
    <row r="1884" spans="3:3" x14ac:dyDescent="0.3">
      <c r="C1884">
        <v>1884</v>
      </c>
    </row>
    <row r="1885" spans="3:3" x14ac:dyDescent="0.3">
      <c r="C1885">
        <v>1885</v>
      </c>
    </row>
    <row r="1886" spans="3:3" x14ac:dyDescent="0.3">
      <c r="C1886">
        <v>1886</v>
      </c>
    </row>
    <row r="1887" spans="3:3" x14ac:dyDescent="0.3">
      <c r="C1887">
        <v>1887</v>
      </c>
    </row>
    <row r="1888" spans="3:3" x14ac:dyDescent="0.3">
      <c r="C1888">
        <v>1888</v>
      </c>
    </row>
    <row r="1889" spans="3:3" x14ac:dyDescent="0.3">
      <c r="C1889">
        <v>1889</v>
      </c>
    </row>
    <row r="1890" spans="3:3" x14ac:dyDescent="0.3">
      <c r="C1890">
        <v>1890</v>
      </c>
    </row>
    <row r="1891" spans="3:3" x14ac:dyDescent="0.3">
      <c r="C1891">
        <v>1891</v>
      </c>
    </row>
    <row r="1892" spans="3:3" x14ac:dyDescent="0.3">
      <c r="C1892">
        <v>1892</v>
      </c>
    </row>
    <row r="1893" spans="3:3" x14ac:dyDescent="0.3">
      <c r="C1893">
        <v>1893</v>
      </c>
    </row>
    <row r="1894" spans="3:3" x14ac:dyDescent="0.3">
      <c r="C1894">
        <v>1894</v>
      </c>
    </row>
    <row r="1895" spans="3:3" x14ac:dyDescent="0.3">
      <c r="C1895">
        <v>1895</v>
      </c>
    </row>
    <row r="1896" spans="3:3" x14ac:dyDescent="0.3">
      <c r="C1896">
        <v>1896</v>
      </c>
    </row>
    <row r="1897" spans="3:3" x14ac:dyDescent="0.3">
      <c r="C1897">
        <v>1897</v>
      </c>
    </row>
    <row r="1898" spans="3:3" x14ac:dyDescent="0.3">
      <c r="C1898">
        <v>1898</v>
      </c>
    </row>
    <row r="1899" spans="3:3" x14ac:dyDescent="0.3">
      <c r="C1899">
        <v>1899</v>
      </c>
    </row>
    <row r="1900" spans="3:3" x14ac:dyDescent="0.3">
      <c r="C1900">
        <v>1900</v>
      </c>
    </row>
    <row r="1901" spans="3:3" x14ac:dyDescent="0.3">
      <c r="C1901">
        <v>1901</v>
      </c>
    </row>
    <row r="1902" spans="3:3" x14ac:dyDescent="0.3">
      <c r="C1902">
        <v>1902</v>
      </c>
    </row>
    <row r="1903" spans="3:3" x14ac:dyDescent="0.3">
      <c r="C1903">
        <v>1903</v>
      </c>
    </row>
    <row r="1904" spans="3:3" x14ac:dyDescent="0.3">
      <c r="C1904">
        <v>1904</v>
      </c>
    </row>
    <row r="1905" spans="3:3" x14ac:dyDescent="0.3">
      <c r="C1905">
        <v>1905</v>
      </c>
    </row>
    <row r="1906" spans="3:3" x14ac:dyDescent="0.3">
      <c r="C1906">
        <v>1906</v>
      </c>
    </row>
    <row r="1907" spans="3:3" x14ac:dyDescent="0.3">
      <c r="C1907">
        <v>1907</v>
      </c>
    </row>
    <row r="1908" spans="3:3" x14ac:dyDescent="0.3">
      <c r="C1908">
        <v>1908</v>
      </c>
    </row>
    <row r="1909" spans="3:3" x14ac:dyDescent="0.3">
      <c r="C1909">
        <v>1909</v>
      </c>
    </row>
    <row r="1910" spans="3:3" x14ac:dyDescent="0.3">
      <c r="C1910">
        <v>1910</v>
      </c>
    </row>
    <row r="1911" spans="3:3" x14ac:dyDescent="0.3">
      <c r="C1911">
        <v>1911</v>
      </c>
    </row>
    <row r="1912" spans="3:3" x14ac:dyDescent="0.3">
      <c r="C1912">
        <v>1912</v>
      </c>
    </row>
    <row r="1913" spans="3:3" x14ac:dyDescent="0.3">
      <c r="C1913">
        <v>1913</v>
      </c>
    </row>
    <row r="1914" spans="3:3" x14ac:dyDescent="0.3">
      <c r="C1914">
        <v>1914</v>
      </c>
    </row>
    <row r="1915" spans="3:3" x14ac:dyDescent="0.3">
      <c r="C1915">
        <v>1915</v>
      </c>
    </row>
    <row r="1916" spans="3:3" x14ac:dyDescent="0.3">
      <c r="C1916">
        <v>1916</v>
      </c>
    </row>
    <row r="1917" spans="3:3" x14ac:dyDescent="0.3">
      <c r="C1917">
        <v>1917</v>
      </c>
    </row>
    <row r="1918" spans="3:3" x14ac:dyDescent="0.3">
      <c r="C1918">
        <v>1918</v>
      </c>
    </row>
    <row r="1919" spans="3:3" x14ac:dyDescent="0.3">
      <c r="C1919">
        <v>1919</v>
      </c>
    </row>
    <row r="1920" spans="3:3" x14ac:dyDescent="0.3">
      <c r="C1920">
        <v>1920</v>
      </c>
    </row>
    <row r="1921" spans="3:3" x14ac:dyDescent="0.3">
      <c r="C1921">
        <v>1921</v>
      </c>
    </row>
    <row r="1922" spans="3:3" x14ac:dyDescent="0.3">
      <c r="C1922">
        <v>1922</v>
      </c>
    </row>
    <row r="1923" spans="3:3" x14ac:dyDescent="0.3">
      <c r="C1923">
        <v>1923</v>
      </c>
    </row>
    <row r="1924" spans="3:3" x14ac:dyDescent="0.3">
      <c r="C1924">
        <v>1924</v>
      </c>
    </row>
    <row r="1925" spans="3:3" x14ac:dyDescent="0.3">
      <c r="C1925">
        <v>1925</v>
      </c>
    </row>
    <row r="1926" spans="3:3" x14ac:dyDescent="0.3">
      <c r="C1926">
        <v>1926</v>
      </c>
    </row>
    <row r="1927" spans="3:3" x14ac:dyDescent="0.3">
      <c r="C1927">
        <v>1927</v>
      </c>
    </row>
    <row r="1928" spans="3:3" x14ac:dyDescent="0.3">
      <c r="C1928">
        <v>1928</v>
      </c>
    </row>
    <row r="1929" spans="3:3" x14ac:dyDescent="0.3">
      <c r="C1929">
        <v>1929</v>
      </c>
    </row>
    <row r="1930" spans="3:3" x14ac:dyDescent="0.3">
      <c r="C1930">
        <v>1930</v>
      </c>
    </row>
    <row r="1931" spans="3:3" x14ac:dyDescent="0.3">
      <c r="C1931">
        <v>1931</v>
      </c>
    </row>
    <row r="1932" spans="3:3" x14ac:dyDescent="0.3">
      <c r="C1932">
        <v>1932</v>
      </c>
    </row>
    <row r="1933" spans="3:3" x14ac:dyDescent="0.3">
      <c r="C1933">
        <v>1933</v>
      </c>
    </row>
    <row r="1934" spans="3:3" x14ac:dyDescent="0.3">
      <c r="C1934">
        <v>1934</v>
      </c>
    </row>
    <row r="1935" spans="3:3" x14ac:dyDescent="0.3">
      <c r="C1935">
        <v>1935</v>
      </c>
    </row>
    <row r="1936" spans="3:3" x14ac:dyDescent="0.3">
      <c r="C1936">
        <v>1936</v>
      </c>
    </row>
    <row r="1937" spans="3:3" x14ac:dyDescent="0.3">
      <c r="C1937">
        <v>1937</v>
      </c>
    </row>
    <row r="1938" spans="3:3" x14ac:dyDescent="0.3">
      <c r="C1938">
        <v>1938</v>
      </c>
    </row>
    <row r="1939" spans="3:3" x14ac:dyDescent="0.3">
      <c r="C1939">
        <v>1939</v>
      </c>
    </row>
    <row r="1940" spans="3:3" x14ac:dyDescent="0.3">
      <c r="C1940">
        <v>1940</v>
      </c>
    </row>
    <row r="1941" spans="3:3" x14ac:dyDescent="0.3">
      <c r="C1941">
        <v>1941</v>
      </c>
    </row>
    <row r="1942" spans="3:3" x14ac:dyDescent="0.3">
      <c r="C1942">
        <v>1942</v>
      </c>
    </row>
    <row r="1943" spans="3:3" x14ac:dyDescent="0.3">
      <c r="C1943">
        <v>1943</v>
      </c>
    </row>
    <row r="1944" spans="3:3" x14ac:dyDescent="0.3">
      <c r="C1944">
        <v>1944</v>
      </c>
    </row>
    <row r="1945" spans="3:3" x14ac:dyDescent="0.3">
      <c r="C1945">
        <v>1945</v>
      </c>
    </row>
    <row r="1946" spans="3:3" x14ac:dyDescent="0.3">
      <c r="C1946">
        <v>1946</v>
      </c>
    </row>
    <row r="1947" spans="3:3" x14ac:dyDescent="0.3">
      <c r="C1947">
        <v>1947</v>
      </c>
    </row>
    <row r="1948" spans="3:3" x14ac:dyDescent="0.3">
      <c r="C1948">
        <v>1948</v>
      </c>
    </row>
    <row r="1949" spans="3:3" x14ac:dyDescent="0.3">
      <c r="C1949">
        <v>1949</v>
      </c>
    </row>
    <row r="1950" spans="3:3" x14ac:dyDescent="0.3">
      <c r="C1950">
        <v>1950</v>
      </c>
    </row>
    <row r="1951" spans="3:3" x14ac:dyDescent="0.3">
      <c r="C1951">
        <v>1951</v>
      </c>
    </row>
    <row r="1952" spans="3:3" x14ac:dyDescent="0.3">
      <c r="C1952">
        <v>1952</v>
      </c>
    </row>
    <row r="1953" spans="3:3" x14ac:dyDescent="0.3">
      <c r="C1953">
        <v>1953</v>
      </c>
    </row>
    <row r="1954" spans="3:3" x14ac:dyDescent="0.3">
      <c r="C1954">
        <v>1954</v>
      </c>
    </row>
    <row r="1955" spans="3:3" x14ac:dyDescent="0.3">
      <c r="C1955">
        <v>1955</v>
      </c>
    </row>
    <row r="1956" spans="3:3" x14ac:dyDescent="0.3">
      <c r="C1956">
        <v>1956</v>
      </c>
    </row>
    <row r="1957" spans="3:3" x14ac:dyDescent="0.3">
      <c r="C1957">
        <v>1957</v>
      </c>
    </row>
    <row r="1958" spans="3:3" x14ac:dyDescent="0.3">
      <c r="C1958">
        <v>1958</v>
      </c>
    </row>
    <row r="1959" spans="3:3" x14ac:dyDescent="0.3">
      <c r="C1959">
        <v>1959</v>
      </c>
    </row>
    <row r="1960" spans="3:3" x14ac:dyDescent="0.3">
      <c r="C1960">
        <v>1960</v>
      </c>
    </row>
    <row r="1961" spans="3:3" x14ac:dyDescent="0.3">
      <c r="C1961">
        <v>1961</v>
      </c>
    </row>
    <row r="1962" spans="3:3" x14ac:dyDescent="0.3">
      <c r="C1962">
        <v>1962</v>
      </c>
    </row>
    <row r="1963" spans="3:3" x14ac:dyDescent="0.3">
      <c r="C1963">
        <v>1963</v>
      </c>
    </row>
    <row r="1964" spans="3:3" x14ac:dyDescent="0.3">
      <c r="C1964">
        <v>1964</v>
      </c>
    </row>
    <row r="1965" spans="3:3" x14ac:dyDescent="0.3">
      <c r="C1965">
        <v>1965</v>
      </c>
    </row>
    <row r="1966" spans="3:3" x14ac:dyDescent="0.3">
      <c r="C1966">
        <v>1966</v>
      </c>
    </row>
    <row r="1967" spans="3:3" x14ac:dyDescent="0.3">
      <c r="C1967">
        <v>1967</v>
      </c>
    </row>
    <row r="1968" spans="3:3" x14ac:dyDescent="0.3">
      <c r="C1968">
        <v>1968</v>
      </c>
    </row>
    <row r="1969" spans="3:3" x14ac:dyDescent="0.3">
      <c r="C1969">
        <v>1969</v>
      </c>
    </row>
    <row r="1970" spans="3:3" x14ac:dyDescent="0.3">
      <c r="C1970">
        <v>1970</v>
      </c>
    </row>
    <row r="1971" spans="3:3" x14ac:dyDescent="0.3">
      <c r="C1971">
        <v>1971</v>
      </c>
    </row>
    <row r="1972" spans="3:3" x14ac:dyDescent="0.3">
      <c r="C1972">
        <v>1972</v>
      </c>
    </row>
    <row r="1973" spans="3:3" x14ac:dyDescent="0.3">
      <c r="C1973">
        <v>1973</v>
      </c>
    </row>
    <row r="1974" spans="3:3" x14ac:dyDescent="0.3">
      <c r="C1974">
        <v>1974</v>
      </c>
    </row>
    <row r="1975" spans="3:3" x14ac:dyDescent="0.3">
      <c r="C1975">
        <v>1975</v>
      </c>
    </row>
    <row r="1976" spans="3:3" x14ac:dyDescent="0.3">
      <c r="C1976">
        <v>1976</v>
      </c>
    </row>
    <row r="1977" spans="3:3" x14ac:dyDescent="0.3">
      <c r="C1977">
        <v>1977</v>
      </c>
    </row>
    <row r="1978" spans="3:3" x14ac:dyDescent="0.3">
      <c r="C1978">
        <v>1978</v>
      </c>
    </row>
    <row r="1979" spans="3:3" x14ac:dyDescent="0.3">
      <c r="C1979">
        <v>1979</v>
      </c>
    </row>
    <row r="1980" spans="3:3" x14ac:dyDescent="0.3">
      <c r="C1980">
        <v>1980</v>
      </c>
    </row>
    <row r="1981" spans="3:3" x14ac:dyDescent="0.3">
      <c r="C1981">
        <v>1981</v>
      </c>
    </row>
    <row r="1982" spans="3:3" x14ac:dyDescent="0.3">
      <c r="C1982">
        <v>1982</v>
      </c>
    </row>
    <row r="1983" spans="3:3" x14ac:dyDescent="0.3">
      <c r="C1983">
        <v>1983</v>
      </c>
    </row>
    <row r="1984" spans="3:3" x14ac:dyDescent="0.3">
      <c r="C1984">
        <v>1984</v>
      </c>
    </row>
    <row r="1985" spans="3:3" x14ac:dyDescent="0.3">
      <c r="C1985">
        <v>1985</v>
      </c>
    </row>
    <row r="1986" spans="3:3" x14ac:dyDescent="0.3">
      <c r="C1986">
        <v>1986</v>
      </c>
    </row>
    <row r="1987" spans="3:3" x14ac:dyDescent="0.3">
      <c r="C1987">
        <v>1987</v>
      </c>
    </row>
    <row r="1988" spans="3:3" x14ac:dyDescent="0.3">
      <c r="C1988">
        <v>1988</v>
      </c>
    </row>
    <row r="1989" spans="3:3" x14ac:dyDescent="0.3">
      <c r="C1989">
        <v>1989</v>
      </c>
    </row>
    <row r="1990" spans="3:3" x14ac:dyDescent="0.3">
      <c r="C1990">
        <v>1990</v>
      </c>
    </row>
    <row r="1991" spans="3:3" x14ac:dyDescent="0.3">
      <c r="C1991">
        <v>1991</v>
      </c>
    </row>
    <row r="1992" spans="3:3" x14ac:dyDescent="0.3">
      <c r="C1992">
        <v>1992</v>
      </c>
    </row>
    <row r="1993" spans="3:3" x14ac:dyDescent="0.3">
      <c r="C1993">
        <v>1993</v>
      </c>
    </row>
    <row r="1994" spans="3:3" x14ac:dyDescent="0.3">
      <c r="C1994">
        <v>1994</v>
      </c>
    </row>
    <row r="1995" spans="3:3" x14ac:dyDescent="0.3">
      <c r="C1995">
        <v>1995</v>
      </c>
    </row>
    <row r="1996" spans="3:3" x14ac:dyDescent="0.3">
      <c r="C1996">
        <v>1996</v>
      </c>
    </row>
    <row r="1997" spans="3:3" x14ac:dyDescent="0.3">
      <c r="C1997">
        <v>1997</v>
      </c>
    </row>
    <row r="1998" spans="3:3" x14ac:dyDescent="0.3">
      <c r="C1998">
        <v>1998</v>
      </c>
    </row>
    <row r="1999" spans="3:3" x14ac:dyDescent="0.3">
      <c r="C1999">
        <v>1999</v>
      </c>
    </row>
    <row r="2000" spans="3:3" x14ac:dyDescent="0.3">
      <c r="C2000">
        <v>2000</v>
      </c>
    </row>
    <row r="2001" spans="3:3" x14ac:dyDescent="0.3">
      <c r="C2001">
        <v>2001</v>
      </c>
    </row>
    <row r="2002" spans="3:3" x14ac:dyDescent="0.3">
      <c r="C2002">
        <v>2002</v>
      </c>
    </row>
    <row r="2003" spans="3:3" x14ac:dyDescent="0.3">
      <c r="C2003">
        <v>2003</v>
      </c>
    </row>
    <row r="2004" spans="3:3" x14ac:dyDescent="0.3">
      <c r="C2004">
        <v>2004</v>
      </c>
    </row>
    <row r="2005" spans="3:3" x14ac:dyDescent="0.3">
      <c r="C2005">
        <v>2005</v>
      </c>
    </row>
    <row r="2006" spans="3:3" x14ac:dyDescent="0.3">
      <c r="C2006">
        <v>2006</v>
      </c>
    </row>
    <row r="2007" spans="3:3" x14ac:dyDescent="0.3">
      <c r="C2007">
        <v>2007</v>
      </c>
    </row>
    <row r="2008" spans="3:3" x14ac:dyDescent="0.3">
      <c r="C2008">
        <v>2008</v>
      </c>
    </row>
    <row r="2009" spans="3:3" x14ac:dyDescent="0.3">
      <c r="C2009">
        <v>2009</v>
      </c>
    </row>
    <row r="2010" spans="3:3" x14ac:dyDescent="0.3">
      <c r="C2010">
        <v>2010</v>
      </c>
    </row>
    <row r="2011" spans="3:3" x14ac:dyDescent="0.3">
      <c r="C2011">
        <v>2011</v>
      </c>
    </row>
    <row r="2012" spans="3:3" x14ac:dyDescent="0.3">
      <c r="C2012">
        <v>2012</v>
      </c>
    </row>
    <row r="2013" spans="3:3" x14ac:dyDescent="0.3">
      <c r="C2013">
        <v>2013</v>
      </c>
    </row>
    <row r="2014" spans="3:3" x14ac:dyDescent="0.3">
      <c r="C2014">
        <v>2014</v>
      </c>
    </row>
    <row r="2015" spans="3:3" x14ac:dyDescent="0.3">
      <c r="C2015">
        <v>2015</v>
      </c>
    </row>
    <row r="2016" spans="3:3" x14ac:dyDescent="0.3">
      <c r="C2016">
        <v>2016</v>
      </c>
    </row>
    <row r="2017" spans="3:3" x14ac:dyDescent="0.3">
      <c r="C2017">
        <v>2017</v>
      </c>
    </row>
    <row r="2018" spans="3:3" x14ac:dyDescent="0.3">
      <c r="C2018">
        <v>2018</v>
      </c>
    </row>
    <row r="2019" spans="3:3" x14ac:dyDescent="0.3">
      <c r="C2019">
        <v>2019</v>
      </c>
    </row>
    <row r="2020" spans="3:3" x14ac:dyDescent="0.3">
      <c r="C2020">
        <v>2020</v>
      </c>
    </row>
    <row r="2021" spans="3:3" x14ac:dyDescent="0.3">
      <c r="C2021">
        <v>2021</v>
      </c>
    </row>
    <row r="2022" spans="3:3" x14ac:dyDescent="0.3">
      <c r="C2022">
        <v>2022</v>
      </c>
    </row>
    <row r="2023" spans="3:3" x14ac:dyDescent="0.3">
      <c r="C2023">
        <v>2023</v>
      </c>
    </row>
    <row r="2024" spans="3:3" x14ac:dyDescent="0.3">
      <c r="C2024">
        <v>2024</v>
      </c>
    </row>
    <row r="2025" spans="3:3" x14ac:dyDescent="0.3">
      <c r="C2025">
        <v>2025</v>
      </c>
    </row>
    <row r="2026" spans="3:3" x14ac:dyDescent="0.3">
      <c r="C2026">
        <v>2026</v>
      </c>
    </row>
    <row r="2027" spans="3:3" x14ac:dyDescent="0.3">
      <c r="C2027">
        <v>2027</v>
      </c>
    </row>
    <row r="2028" spans="3:3" x14ac:dyDescent="0.3">
      <c r="C2028">
        <v>2028</v>
      </c>
    </row>
    <row r="2029" spans="3:3" x14ac:dyDescent="0.3">
      <c r="C2029">
        <v>2029</v>
      </c>
    </row>
    <row r="2030" spans="3:3" x14ac:dyDescent="0.3">
      <c r="C2030">
        <v>2030</v>
      </c>
    </row>
    <row r="2031" spans="3:3" x14ac:dyDescent="0.3">
      <c r="C2031">
        <v>2031</v>
      </c>
    </row>
    <row r="2032" spans="3:3" x14ac:dyDescent="0.3">
      <c r="C2032">
        <v>2032</v>
      </c>
    </row>
    <row r="2033" spans="3:3" x14ac:dyDescent="0.3">
      <c r="C2033">
        <v>2033</v>
      </c>
    </row>
    <row r="2034" spans="3:3" x14ac:dyDescent="0.3">
      <c r="C2034">
        <v>2034</v>
      </c>
    </row>
    <row r="2035" spans="3:3" x14ac:dyDescent="0.3">
      <c r="C2035">
        <v>2035</v>
      </c>
    </row>
    <row r="2036" spans="3:3" x14ac:dyDescent="0.3">
      <c r="C2036">
        <v>2036</v>
      </c>
    </row>
    <row r="2037" spans="3:3" x14ac:dyDescent="0.3">
      <c r="C2037">
        <v>2037</v>
      </c>
    </row>
    <row r="2038" spans="3:3" x14ac:dyDescent="0.3">
      <c r="C2038">
        <v>2038</v>
      </c>
    </row>
    <row r="2039" spans="3:3" x14ac:dyDescent="0.3">
      <c r="C2039">
        <v>2039</v>
      </c>
    </row>
    <row r="2040" spans="3:3" x14ac:dyDescent="0.3">
      <c r="C2040">
        <v>2040</v>
      </c>
    </row>
    <row r="2041" spans="3:3" x14ac:dyDescent="0.3">
      <c r="C2041">
        <v>2041</v>
      </c>
    </row>
    <row r="2042" spans="3:3" x14ac:dyDescent="0.3">
      <c r="C2042">
        <v>2042</v>
      </c>
    </row>
    <row r="2043" spans="3:3" x14ac:dyDescent="0.3">
      <c r="C2043">
        <v>2043</v>
      </c>
    </row>
    <row r="2044" spans="3:3" x14ac:dyDescent="0.3">
      <c r="C2044">
        <v>2044</v>
      </c>
    </row>
    <row r="2045" spans="3:3" x14ac:dyDescent="0.3">
      <c r="C2045">
        <v>2045</v>
      </c>
    </row>
    <row r="2046" spans="3:3" x14ac:dyDescent="0.3">
      <c r="C2046">
        <v>2046</v>
      </c>
    </row>
    <row r="2047" spans="3:3" x14ac:dyDescent="0.3">
      <c r="C2047">
        <v>2047</v>
      </c>
    </row>
    <row r="2048" spans="3:3" x14ac:dyDescent="0.3">
      <c r="C2048">
        <v>2048</v>
      </c>
    </row>
    <row r="2049" spans="3:3" x14ac:dyDescent="0.3">
      <c r="C2049">
        <v>2049</v>
      </c>
    </row>
    <row r="2050" spans="3:3" x14ac:dyDescent="0.3">
      <c r="C2050">
        <v>2050</v>
      </c>
    </row>
    <row r="2051" spans="3:3" x14ac:dyDescent="0.3">
      <c r="C2051">
        <v>2051</v>
      </c>
    </row>
    <row r="2052" spans="3:3" x14ac:dyDescent="0.3">
      <c r="C2052">
        <v>2052</v>
      </c>
    </row>
    <row r="2053" spans="3:3" x14ac:dyDescent="0.3">
      <c r="C2053">
        <v>2053</v>
      </c>
    </row>
    <row r="2054" spans="3:3" x14ac:dyDescent="0.3">
      <c r="C2054">
        <v>2054</v>
      </c>
    </row>
    <row r="2055" spans="3:3" x14ac:dyDescent="0.3">
      <c r="C2055">
        <v>2055</v>
      </c>
    </row>
    <row r="2056" spans="3:3" x14ac:dyDescent="0.3">
      <c r="C2056">
        <v>2056</v>
      </c>
    </row>
    <row r="2057" spans="3:3" x14ac:dyDescent="0.3">
      <c r="C2057">
        <v>2057</v>
      </c>
    </row>
    <row r="2058" spans="3:3" x14ac:dyDescent="0.3">
      <c r="C2058">
        <v>2058</v>
      </c>
    </row>
    <row r="2059" spans="3:3" x14ac:dyDescent="0.3">
      <c r="C2059">
        <v>2059</v>
      </c>
    </row>
    <row r="2060" spans="3:3" x14ac:dyDescent="0.3">
      <c r="C2060">
        <v>2060</v>
      </c>
    </row>
    <row r="2061" spans="3:3" x14ac:dyDescent="0.3">
      <c r="C2061">
        <v>2061</v>
      </c>
    </row>
    <row r="2062" spans="3:3" x14ac:dyDescent="0.3">
      <c r="C2062">
        <v>2062</v>
      </c>
    </row>
    <row r="2063" spans="3:3" x14ac:dyDescent="0.3">
      <c r="C2063">
        <v>2063</v>
      </c>
    </row>
    <row r="2064" spans="3:3" x14ac:dyDescent="0.3">
      <c r="C2064">
        <v>2064</v>
      </c>
    </row>
    <row r="2065" spans="3:3" x14ac:dyDescent="0.3">
      <c r="C2065">
        <v>2065</v>
      </c>
    </row>
    <row r="2066" spans="3:3" x14ac:dyDescent="0.3">
      <c r="C2066">
        <v>2066</v>
      </c>
    </row>
    <row r="2067" spans="3:3" x14ac:dyDescent="0.3">
      <c r="C2067">
        <v>2067</v>
      </c>
    </row>
    <row r="2068" spans="3:3" x14ac:dyDescent="0.3">
      <c r="C2068">
        <v>2068</v>
      </c>
    </row>
    <row r="2069" spans="3:3" x14ac:dyDescent="0.3">
      <c r="C2069">
        <v>2069</v>
      </c>
    </row>
    <row r="2070" spans="3:3" x14ac:dyDescent="0.3">
      <c r="C2070">
        <v>2070</v>
      </c>
    </row>
    <row r="2071" spans="3:3" x14ac:dyDescent="0.3">
      <c r="C2071">
        <v>2071</v>
      </c>
    </row>
    <row r="2072" spans="3:3" x14ac:dyDescent="0.3">
      <c r="C2072">
        <v>2072</v>
      </c>
    </row>
    <row r="2073" spans="3:3" x14ac:dyDescent="0.3">
      <c r="C2073">
        <v>2073</v>
      </c>
    </row>
    <row r="2074" spans="3:3" x14ac:dyDescent="0.3">
      <c r="C2074">
        <v>2074</v>
      </c>
    </row>
    <row r="2075" spans="3:3" x14ac:dyDescent="0.3">
      <c r="C2075">
        <v>2075</v>
      </c>
    </row>
    <row r="2076" spans="3:3" x14ac:dyDescent="0.3">
      <c r="C2076">
        <v>2076</v>
      </c>
    </row>
    <row r="2077" spans="3:3" x14ac:dyDescent="0.3">
      <c r="C2077">
        <v>2077</v>
      </c>
    </row>
    <row r="2078" spans="3:3" x14ac:dyDescent="0.3">
      <c r="C2078">
        <v>2078</v>
      </c>
    </row>
    <row r="2079" spans="3:3" x14ac:dyDescent="0.3">
      <c r="C2079">
        <v>2079</v>
      </c>
    </row>
    <row r="2080" spans="3:3" x14ac:dyDescent="0.3">
      <c r="C2080">
        <v>2080</v>
      </c>
    </row>
    <row r="2081" spans="3:3" x14ac:dyDescent="0.3">
      <c r="C2081">
        <v>2081</v>
      </c>
    </row>
    <row r="2082" spans="3:3" x14ac:dyDescent="0.3">
      <c r="C2082">
        <v>2082</v>
      </c>
    </row>
    <row r="2083" spans="3:3" x14ac:dyDescent="0.3">
      <c r="C2083">
        <v>2083</v>
      </c>
    </row>
    <row r="2084" spans="3:3" x14ac:dyDescent="0.3">
      <c r="C2084">
        <v>2084</v>
      </c>
    </row>
    <row r="2085" spans="3:3" x14ac:dyDescent="0.3">
      <c r="C2085">
        <v>2085</v>
      </c>
    </row>
    <row r="2086" spans="3:3" x14ac:dyDescent="0.3">
      <c r="C2086">
        <v>2086</v>
      </c>
    </row>
    <row r="2087" spans="3:3" x14ac:dyDescent="0.3">
      <c r="C2087">
        <v>2087</v>
      </c>
    </row>
    <row r="2088" spans="3:3" x14ac:dyDescent="0.3">
      <c r="C2088">
        <v>2088</v>
      </c>
    </row>
    <row r="2089" spans="3:3" x14ac:dyDescent="0.3">
      <c r="C2089">
        <v>2089</v>
      </c>
    </row>
    <row r="2090" spans="3:3" x14ac:dyDescent="0.3">
      <c r="C2090">
        <v>2090</v>
      </c>
    </row>
    <row r="2091" spans="3:3" x14ac:dyDescent="0.3">
      <c r="C2091">
        <v>2091</v>
      </c>
    </row>
    <row r="2092" spans="3:3" x14ac:dyDescent="0.3">
      <c r="C2092">
        <v>2092</v>
      </c>
    </row>
    <row r="2093" spans="3:3" x14ac:dyDescent="0.3">
      <c r="C2093">
        <v>2093</v>
      </c>
    </row>
    <row r="2094" spans="3:3" x14ac:dyDescent="0.3">
      <c r="C2094">
        <v>2094</v>
      </c>
    </row>
    <row r="2095" spans="3:3" x14ac:dyDescent="0.3">
      <c r="C2095">
        <v>2095</v>
      </c>
    </row>
    <row r="2096" spans="3:3" x14ac:dyDescent="0.3">
      <c r="C2096">
        <v>2096</v>
      </c>
    </row>
    <row r="2097" spans="3:3" x14ac:dyDescent="0.3">
      <c r="C2097">
        <v>2097</v>
      </c>
    </row>
    <row r="2098" spans="3:3" x14ac:dyDescent="0.3">
      <c r="C2098">
        <v>2098</v>
      </c>
    </row>
    <row r="2099" spans="3:3" x14ac:dyDescent="0.3">
      <c r="C2099">
        <v>2099</v>
      </c>
    </row>
    <row r="2100" spans="3:3" x14ac:dyDescent="0.3">
      <c r="C2100">
        <v>2100</v>
      </c>
    </row>
    <row r="2101" spans="3:3" x14ac:dyDescent="0.3">
      <c r="C2101">
        <v>2101</v>
      </c>
    </row>
    <row r="2102" spans="3:3" x14ac:dyDescent="0.3">
      <c r="C2102">
        <v>2102</v>
      </c>
    </row>
    <row r="2103" spans="3:3" x14ac:dyDescent="0.3">
      <c r="C2103">
        <v>2103</v>
      </c>
    </row>
    <row r="2104" spans="3:3" x14ac:dyDescent="0.3">
      <c r="C2104">
        <v>2104</v>
      </c>
    </row>
    <row r="2105" spans="3:3" x14ac:dyDescent="0.3">
      <c r="C2105">
        <v>2105</v>
      </c>
    </row>
    <row r="2106" spans="3:3" x14ac:dyDescent="0.3">
      <c r="C2106">
        <v>2106</v>
      </c>
    </row>
    <row r="2107" spans="3:3" x14ac:dyDescent="0.3">
      <c r="C2107">
        <v>2107</v>
      </c>
    </row>
    <row r="2108" spans="3:3" x14ac:dyDescent="0.3">
      <c r="C2108">
        <v>2108</v>
      </c>
    </row>
    <row r="2109" spans="3:3" x14ac:dyDescent="0.3">
      <c r="C2109">
        <v>2109</v>
      </c>
    </row>
    <row r="2110" spans="3:3" x14ac:dyDescent="0.3">
      <c r="C2110">
        <v>2110</v>
      </c>
    </row>
    <row r="2111" spans="3:3" x14ac:dyDescent="0.3">
      <c r="C2111">
        <v>2111</v>
      </c>
    </row>
    <row r="2112" spans="3:3" x14ac:dyDescent="0.3">
      <c r="C2112">
        <v>2112</v>
      </c>
    </row>
    <row r="2113" spans="3:3" x14ac:dyDescent="0.3">
      <c r="C2113">
        <v>2113</v>
      </c>
    </row>
    <row r="2114" spans="3:3" x14ac:dyDescent="0.3">
      <c r="C2114">
        <v>2114</v>
      </c>
    </row>
    <row r="2115" spans="3:3" x14ac:dyDescent="0.3">
      <c r="C2115">
        <v>2115</v>
      </c>
    </row>
    <row r="2116" spans="3:3" x14ac:dyDescent="0.3">
      <c r="C2116">
        <v>2116</v>
      </c>
    </row>
    <row r="2117" spans="3:3" x14ac:dyDescent="0.3">
      <c r="C2117">
        <v>2117</v>
      </c>
    </row>
    <row r="2118" spans="3:3" x14ac:dyDescent="0.3">
      <c r="C2118">
        <v>2118</v>
      </c>
    </row>
    <row r="2119" spans="3:3" x14ac:dyDescent="0.3">
      <c r="C2119">
        <v>2119</v>
      </c>
    </row>
    <row r="2120" spans="3:3" x14ac:dyDescent="0.3">
      <c r="C2120">
        <v>2120</v>
      </c>
    </row>
    <row r="2121" spans="3:3" x14ac:dyDescent="0.3">
      <c r="C2121">
        <v>2121</v>
      </c>
    </row>
    <row r="2122" spans="3:3" x14ac:dyDescent="0.3">
      <c r="C2122">
        <v>2122</v>
      </c>
    </row>
    <row r="2123" spans="3:3" x14ac:dyDescent="0.3">
      <c r="C2123">
        <v>2123</v>
      </c>
    </row>
    <row r="2124" spans="3:3" x14ac:dyDescent="0.3">
      <c r="C2124">
        <v>2124</v>
      </c>
    </row>
    <row r="2125" spans="3:3" x14ac:dyDescent="0.3">
      <c r="C2125">
        <v>2125</v>
      </c>
    </row>
    <row r="2126" spans="3:3" x14ac:dyDescent="0.3">
      <c r="C2126">
        <v>2126</v>
      </c>
    </row>
    <row r="2127" spans="3:3" x14ac:dyDescent="0.3">
      <c r="C2127">
        <v>2127</v>
      </c>
    </row>
    <row r="2128" spans="3:3" x14ac:dyDescent="0.3">
      <c r="C2128">
        <v>2128</v>
      </c>
    </row>
    <row r="2129" spans="3:3" x14ac:dyDescent="0.3">
      <c r="C2129">
        <v>2129</v>
      </c>
    </row>
    <row r="2130" spans="3:3" x14ac:dyDescent="0.3">
      <c r="C2130">
        <v>2130</v>
      </c>
    </row>
    <row r="2131" spans="3:3" x14ac:dyDescent="0.3">
      <c r="C2131">
        <v>2131</v>
      </c>
    </row>
    <row r="2132" spans="3:3" x14ac:dyDescent="0.3">
      <c r="C2132">
        <v>2132</v>
      </c>
    </row>
    <row r="2133" spans="3:3" x14ac:dyDescent="0.3">
      <c r="C2133">
        <v>2133</v>
      </c>
    </row>
    <row r="2134" spans="3:3" x14ac:dyDescent="0.3">
      <c r="C2134">
        <v>2134</v>
      </c>
    </row>
    <row r="2135" spans="3:3" x14ac:dyDescent="0.3">
      <c r="C2135">
        <v>2135</v>
      </c>
    </row>
    <row r="2136" spans="3:3" x14ac:dyDescent="0.3">
      <c r="C2136">
        <v>2136</v>
      </c>
    </row>
    <row r="2137" spans="3:3" x14ac:dyDescent="0.3">
      <c r="C2137">
        <v>2137</v>
      </c>
    </row>
    <row r="2138" spans="3:3" x14ac:dyDescent="0.3">
      <c r="C2138">
        <v>2138</v>
      </c>
    </row>
    <row r="2139" spans="3:3" x14ac:dyDescent="0.3">
      <c r="C2139">
        <v>2139</v>
      </c>
    </row>
    <row r="2140" spans="3:3" x14ac:dyDescent="0.3">
      <c r="C2140">
        <v>2140</v>
      </c>
    </row>
    <row r="2141" spans="3:3" x14ac:dyDescent="0.3">
      <c r="C2141">
        <v>2141</v>
      </c>
    </row>
    <row r="2142" spans="3:3" x14ac:dyDescent="0.3">
      <c r="C2142">
        <v>2142</v>
      </c>
    </row>
    <row r="2143" spans="3:3" x14ac:dyDescent="0.3">
      <c r="C2143">
        <v>2143</v>
      </c>
    </row>
    <row r="2144" spans="3:3" x14ac:dyDescent="0.3">
      <c r="C2144">
        <v>2144</v>
      </c>
    </row>
    <row r="2145" spans="3:3" x14ac:dyDescent="0.3">
      <c r="C2145">
        <v>2145</v>
      </c>
    </row>
    <row r="2146" spans="3:3" x14ac:dyDescent="0.3">
      <c r="C2146">
        <v>2146</v>
      </c>
    </row>
    <row r="2147" spans="3:3" x14ac:dyDescent="0.3">
      <c r="C2147">
        <v>2147</v>
      </c>
    </row>
    <row r="2148" spans="3:3" x14ac:dyDescent="0.3">
      <c r="C2148">
        <v>2148</v>
      </c>
    </row>
    <row r="2149" spans="3:3" x14ac:dyDescent="0.3">
      <c r="C2149">
        <v>2149</v>
      </c>
    </row>
    <row r="2150" spans="3:3" x14ac:dyDescent="0.3">
      <c r="C2150">
        <v>2150</v>
      </c>
    </row>
    <row r="2151" spans="3:3" x14ac:dyDescent="0.3">
      <c r="C2151">
        <v>2151</v>
      </c>
    </row>
    <row r="2152" spans="3:3" x14ac:dyDescent="0.3">
      <c r="C2152">
        <v>2152</v>
      </c>
    </row>
    <row r="2153" spans="3:3" x14ac:dyDescent="0.3">
      <c r="C2153">
        <v>2153</v>
      </c>
    </row>
    <row r="2154" spans="3:3" x14ac:dyDescent="0.3">
      <c r="C2154">
        <v>2154</v>
      </c>
    </row>
    <row r="2155" spans="3:3" x14ac:dyDescent="0.3">
      <c r="C2155">
        <v>2155</v>
      </c>
    </row>
    <row r="2156" spans="3:3" x14ac:dyDescent="0.3">
      <c r="C2156">
        <v>2156</v>
      </c>
    </row>
    <row r="2157" spans="3:3" x14ac:dyDescent="0.3">
      <c r="C2157">
        <v>2157</v>
      </c>
    </row>
    <row r="2158" spans="3:3" x14ac:dyDescent="0.3">
      <c r="C2158">
        <v>2158</v>
      </c>
    </row>
    <row r="2159" spans="3:3" x14ac:dyDescent="0.3">
      <c r="C2159">
        <v>2159</v>
      </c>
    </row>
    <row r="2160" spans="3:3" x14ac:dyDescent="0.3">
      <c r="C2160">
        <v>2160</v>
      </c>
    </row>
    <row r="2161" spans="3:3" x14ac:dyDescent="0.3">
      <c r="C2161">
        <v>2161</v>
      </c>
    </row>
    <row r="2162" spans="3:3" x14ac:dyDescent="0.3">
      <c r="C2162">
        <v>2162</v>
      </c>
    </row>
    <row r="2163" spans="3:3" x14ac:dyDescent="0.3">
      <c r="C2163">
        <v>2163</v>
      </c>
    </row>
    <row r="2164" spans="3:3" x14ac:dyDescent="0.3">
      <c r="C2164">
        <v>2164</v>
      </c>
    </row>
    <row r="2165" spans="3:3" x14ac:dyDescent="0.3">
      <c r="C2165">
        <v>2165</v>
      </c>
    </row>
    <row r="2166" spans="3:3" x14ac:dyDescent="0.3">
      <c r="C2166">
        <v>2166</v>
      </c>
    </row>
    <row r="2167" spans="3:3" x14ac:dyDescent="0.3">
      <c r="C2167">
        <v>2167</v>
      </c>
    </row>
    <row r="2168" spans="3:3" x14ac:dyDescent="0.3">
      <c r="C2168">
        <v>2168</v>
      </c>
    </row>
    <row r="2169" spans="3:3" x14ac:dyDescent="0.3">
      <c r="C2169">
        <v>2169</v>
      </c>
    </row>
    <row r="2170" spans="3:3" x14ac:dyDescent="0.3">
      <c r="C2170">
        <v>2170</v>
      </c>
    </row>
    <row r="2171" spans="3:3" x14ac:dyDescent="0.3">
      <c r="C2171">
        <v>2171</v>
      </c>
    </row>
    <row r="2172" spans="3:3" x14ac:dyDescent="0.3">
      <c r="C2172">
        <v>2172</v>
      </c>
    </row>
    <row r="2173" spans="3:3" x14ac:dyDescent="0.3">
      <c r="C2173">
        <v>2173</v>
      </c>
    </row>
    <row r="2174" spans="3:3" x14ac:dyDescent="0.3">
      <c r="C2174">
        <v>2174</v>
      </c>
    </row>
    <row r="2175" spans="3:3" x14ac:dyDescent="0.3">
      <c r="C2175">
        <v>2175</v>
      </c>
    </row>
    <row r="2176" spans="3:3" x14ac:dyDescent="0.3">
      <c r="C2176">
        <v>2176</v>
      </c>
    </row>
    <row r="2177" spans="3:3" x14ac:dyDescent="0.3">
      <c r="C2177">
        <v>2177</v>
      </c>
    </row>
    <row r="2178" spans="3:3" x14ac:dyDescent="0.3">
      <c r="C2178">
        <v>2178</v>
      </c>
    </row>
    <row r="2179" spans="3:3" x14ac:dyDescent="0.3">
      <c r="C2179">
        <v>2179</v>
      </c>
    </row>
    <row r="2180" spans="3:3" x14ac:dyDescent="0.3">
      <c r="C2180">
        <v>2180</v>
      </c>
    </row>
    <row r="2181" spans="3:3" x14ac:dyDescent="0.3">
      <c r="C2181">
        <v>2181</v>
      </c>
    </row>
    <row r="2182" spans="3:3" x14ac:dyDescent="0.3">
      <c r="C2182">
        <v>2182</v>
      </c>
    </row>
    <row r="2183" spans="3:3" x14ac:dyDescent="0.3">
      <c r="C2183">
        <v>2183</v>
      </c>
    </row>
    <row r="2184" spans="3:3" x14ac:dyDescent="0.3">
      <c r="C2184">
        <v>2184</v>
      </c>
    </row>
    <row r="2185" spans="3:3" x14ac:dyDescent="0.3">
      <c r="C2185">
        <v>2185</v>
      </c>
    </row>
    <row r="2186" spans="3:3" x14ac:dyDescent="0.3">
      <c r="C2186">
        <v>2186</v>
      </c>
    </row>
    <row r="2187" spans="3:3" x14ac:dyDescent="0.3">
      <c r="C2187">
        <v>2187</v>
      </c>
    </row>
    <row r="2188" spans="3:3" x14ac:dyDescent="0.3">
      <c r="C2188">
        <v>2188</v>
      </c>
    </row>
    <row r="2189" spans="3:3" x14ac:dyDescent="0.3">
      <c r="C2189">
        <v>2189</v>
      </c>
    </row>
    <row r="2190" spans="3:3" x14ac:dyDescent="0.3">
      <c r="C2190">
        <v>2190</v>
      </c>
    </row>
    <row r="2191" spans="3:3" x14ac:dyDescent="0.3">
      <c r="C2191">
        <v>2191</v>
      </c>
    </row>
    <row r="2192" spans="3:3" x14ac:dyDescent="0.3">
      <c r="C2192">
        <v>2192</v>
      </c>
    </row>
    <row r="2193" spans="3:3" x14ac:dyDescent="0.3">
      <c r="C2193">
        <v>2193</v>
      </c>
    </row>
    <row r="2194" spans="3:3" x14ac:dyDescent="0.3">
      <c r="C2194">
        <v>2194</v>
      </c>
    </row>
    <row r="2195" spans="3:3" x14ac:dyDescent="0.3">
      <c r="C2195">
        <v>2195</v>
      </c>
    </row>
    <row r="2196" spans="3:3" x14ac:dyDescent="0.3">
      <c r="C2196">
        <v>2196</v>
      </c>
    </row>
    <row r="2197" spans="3:3" x14ac:dyDescent="0.3">
      <c r="C2197">
        <v>2197</v>
      </c>
    </row>
    <row r="2198" spans="3:3" x14ac:dyDescent="0.3">
      <c r="C2198">
        <v>2198</v>
      </c>
    </row>
    <row r="2199" spans="3:3" x14ac:dyDescent="0.3">
      <c r="C2199">
        <v>2199</v>
      </c>
    </row>
    <row r="2200" spans="3:3" x14ac:dyDescent="0.3">
      <c r="C2200">
        <v>2200</v>
      </c>
    </row>
    <row r="2201" spans="3:3" x14ac:dyDescent="0.3">
      <c r="C2201">
        <v>2201</v>
      </c>
    </row>
    <row r="2202" spans="3:3" x14ac:dyDescent="0.3">
      <c r="C2202">
        <v>2202</v>
      </c>
    </row>
    <row r="2203" spans="3:3" x14ac:dyDescent="0.3">
      <c r="C2203">
        <v>2203</v>
      </c>
    </row>
    <row r="2204" spans="3:3" x14ac:dyDescent="0.3">
      <c r="C2204">
        <v>2204</v>
      </c>
    </row>
    <row r="2205" spans="3:3" x14ac:dyDescent="0.3">
      <c r="C2205">
        <v>2205</v>
      </c>
    </row>
    <row r="2206" spans="3:3" x14ac:dyDescent="0.3">
      <c r="C2206">
        <v>2206</v>
      </c>
    </row>
    <row r="2207" spans="3:3" x14ac:dyDescent="0.3">
      <c r="C2207">
        <v>2207</v>
      </c>
    </row>
    <row r="2208" spans="3:3" x14ac:dyDescent="0.3">
      <c r="C2208">
        <v>2208</v>
      </c>
    </row>
    <row r="2209" spans="3:3" x14ac:dyDescent="0.3">
      <c r="C2209">
        <v>2209</v>
      </c>
    </row>
    <row r="2210" spans="3:3" x14ac:dyDescent="0.3">
      <c r="C2210">
        <v>2210</v>
      </c>
    </row>
    <row r="2211" spans="3:3" x14ac:dyDescent="0.3">
      <c r="C2211">
        <v>2211</v>
      </c>
    </row>
    <row r="2212" spans="3:3" x14ac:dyDescent="0.3">
      <c r="C2212">
        <v>2212</v>
      </c>
    </row>
    <row r="2213" spans="3:3" x14ac:dyDescent="0.3">
      <c r="C2213">
        <v>2213</v>
      </c>
    </row>
    <row r="2214" spans="3:3" x14ac:dyDescent="0.3">
      <c r="C2214">
        <v>2214</v>
      </c>
    </row>
    <row r="2215" spans="3:3" x14ac:dyDescent="0.3">
      <c r="C2215">
        <v>2215</v>
      </c>
    </row>
    <row r="2216" spans="3:3" x14ac:dyDescent="0.3">
      <c r="C2216">
        <v>2216</v>
      </c>
    </row>
    <row r="2217" spans="3:3" x14ac:dyDescent="0.3">
      <c r="C2217">
        <v>2217</v>
      </c>
    </row>
    <row r="2218" spans="3:3" x14ac:dyDescent="0.3">
      <c r="C2218">
        <v>2218</v>
      </c>
    </row>
    <row r="2219" spans="3:3" x14ac:dyDescent="0.3">
      <c r="C2219">
        <v>2219</v>
      </c>
    </row>
    <row r="2220" spans="3:3" x14ac:dyDescent="0.3">
      <c r="C2220">
        <v>2220</v>
      </c>
    </row>
    <row r="2221" spans="3:3" x14ac:dyDescent="0.3">
      <c r="C2221">
        <v>2221</v>
      </c>
    </row>
    <row r="2222" spans="3:3" x14ac:dyDescent="0.3">
      <c r="C2222">
        <v>2222</v>
      </c>
    </row>
    <row r="2223" spans="3:3" x14ac:dyDescent="0.3">
      <c r="C2223">
        <v>2223</v>
      </c>
    </row>
    <row r="2224" spans="3:3" x14ac:dyDescent="0.3">
      <c r="C2224">
        <v>2224</v>
      </c>
    </row>
    <row r="2225" spans="3:3" x14ac:dyDescent="0.3">
      <c r="C2225">
        <v>2225</v>
      </c>
    </row>
    <row r="2226" spans="3:3" x14ac:dyDescent="0.3">
      <c r="C2226">
        <v>2226</v>
      </c>
    </row>
    <row r="2227" spans="3:3" x14ac:dyDescent="0.3">
      <c r="C2227">
        <v>2227</v>
      </c>
    </row>
    <row r="2228" spans="3:3" x14ac:dyDescent="0.3">
      <c r="C2228">
        <v>2228</v>
      </c>
    </row>
    <row r="2229" spans="3:3" x14ac:dyDescent="0.3">
      <c r="C2229">
        <v>2229</v>
      </c>
    </row>
    <row r="2230" spans="3:3" x14ac:dyDescent="0.3">
      <c r="C2230">
        <v>2230</v>
      </c>
    </row>
    <row r="2231" spans="3:3" x14ac:dyDescent="0.3">
      <c r="C2231">
        <v>2231</v>
      </c>
    </row>
    <row r="2232" spans="3:3" x14ac:dyDescent="0.3">
      <c r="C2232">
        <v>2232</v>
      </c>
    </row>
    <row r="2233" spans="3:3" x14ac:dyDescent="0.3">
      <c r="C2233">
        <v>2233</v>
      </c>
    </row>
    <row r="2234" spans="3:3" x14ac:dyDescent="0.3">
      <c r="C2234">
        <v>2234</v>
      </c>
    </row>
    <row r="2235" spans="3:3" x14ac:dyDescent="0.3">
      <c r="C2235">
        <v>2235</v>
      </c>
    </row>
    <row r="2236" spans="3:3" x14ac:dyDescent="0.3">
      <c r="C2236">
        <v>2236</v>
      </c>
    </row>
    <row r="2237" spans="3:3" x14ac:dyDescent="0.3">
      <c r="C2237">
        <v>2237</v>
      </c>
    </row>
    <row r="2238" spans="3:3" x14ac:dyDescent="0.3">
      <c r="C2238">
        <v>2238</v>
      </c>
    </row>
    <row r="2239" spans="3:3" x14ac:dyDescent="0.3">
      <c r="C2239">
        <v>2239</v>
      </c>
    </row>
    <row r="2240" spans="3:3" x14ac:dyDescent="0.3">
      <c r="C2240">
        <v>2240</v>
      </c>
    </row>
    <row r="2241" spans="3:3" x14ac:dyDescent="0.3">
      <c r="C2241">
        <v>2241</v>
      </c>
    </row>
    <row r="2242" spans="3:3" x14ac:dyDescent="0.3">
      <c r="C2242">
        <v>2242</v>
      </c>
    </row>
    <row r="2243" spans="3:3" x14ac:dyDescent="0.3">
      <c r="C2243">
        <v>2243</v>
      </c>
    </row>
    <row r="2244" spans="3:3" x14ac:dyDescent="0.3">
      <c r="C2244">
        <v>2244</v>
      </c>
    </row>
    <row r="2245" spans="3:3" x14ac:dyDescent="0.3">
      <c r="C2245">
        <v>2245</v>
      </c>
    </row>
    <row r="2246" spans="3:3" x14ac:dyDescent="0.3">
      <c r="C2246">
        <v>2246</v>
      </c>
    </row>
    <row r="2247" spans="3:3" x14ac:dyDescent="0.3">
      <c r="C2247">
        <v>2247</v>
      </c>
    </row>
    <row r="2248" spans="3:3" x14ac:dyDescent="0.3">
      <c r="C2248">
        <v>2248</v>
      </c>
    </row>
    <row r="2249" spans="3:3" x14ac:dyDescent="0.3">
      <c r="C2249">
        <v>2249</v>
      </c>
    </row>
    <row r="2250" spans="3:3" x14ac:dyDescent="0.3">
      <c r="C2250">
        <v>2250</v>
      </c>
    </row>
    <row r="2251" spans="3:3" x14ac:dyDescent="0.3">
      <c r="C2251">
        <v>2251</v>
      </c>
    </row>
    <row r="2252" spans="3:3" x14ac:dyDescent="0.3">
      <c r="C2252">
        <v>2252</v>
      </c>
    </row>
    <row r="2253" spans="3:3" x14ac:dyDescent="0.3">
      <c r="C2253">
        <v>2253</v>
      </c>
    </row>
    <row r="2254" spans="3:3" x14ac:dyDescent="0.3">
      <c r="C2254">
        <v>2254</v>
      </c>
    </row>
    <row r="2255" spans="3:3" x14ac:dyDescent="0.3">
      <c r="C2255">
        <v>2255</v>
      </c>
    </row>
    <row r="2256" spans="3:3" x14ac:dyDescent="0.3">
      <c r="C2256">
        <v>2256</v>
      </c>
    </row>
    <row r="2257" spans="3:3" x14ac:dyDescent="0.3">
      <c r="C2257">
        <v>2257</v>
      </c>
    </row>
    <row r="2258" spans="3:3" x14ac:dyDescent="0.3">
      <c r="C2258">
        <v>2258</v>
      </c>
    </row>
    <row r="2259" spans="3:3" x14ac:dyDescent="0.3">
      <c r="C2259">
        <v>2259</v>
      </c>
    </row>
    <row r="2260" spans="3:3" x14ac:dyDescent="0.3">
      <c r="C2260">
        <v>2260</v>
      </c>
    </row>
    <row r="2261" spans="3:3" x14ac:dyDescent="0.3">
      <c r="C2261">
        <v>2261</v>
      </c>
    </row>
    <row r="2262" spans="3:3" x14ac:dyDescent="0.3">
      <c r="C2262">
        <v>2262</v>
      </c>
    </row>
    <row r="2263" spans="3:3" x14ac:dyDescent="0.3">
      <c r="C2263">
        <v>2263</v>
      </c>
    </row>
    <row r="2264" spans="3:3" x14ac:dyDescent="0.3">
      <c r="C2264">
        <v>2264</v>
      </c>
    </row>
    <row r="2265" spans="3:3" x14ac:dyDescent="0.3">
      <c r="C2265">
        <v>2265</v>
      </c>
    </row>
    <row r="2266" spans="3:3" x14ac:dyDescent="0.3">
      <c r="C2266">
        <v>2266</v>
      </c>
    </row>
    <row r="2267" spans="3:3" x14ac:dyDescent="0.3">
      <c r="C2267">
        <v>2267</v>
      </c>
    </row>
    <row r="2268" spans="3:3" x14ac:dyDescent="0.3">
      <c r="C2268">
        <v>2268</v>
      </c>
    </row>
    <row r="2269" spans="3:3" x14ac:dyDescent="0.3">
      <c r="C2269">
        <v>2269</v>
      </c>
    </row>
    <row r="2270" spans="3:3" x14ac:dyDescent="0.3">
      <c r="C2270">
        <v>2270</v>
      </c>
    </row>
    <row r="2271" spans="3:3" x14ac:dyDescent="0.3">
      <c r="C2271">
        <v>2271</v>
      </c>
    </row>
    <row r="2272" spans="3:3" x14ac:dyDescent="0.3">
      <c r="C2272">
        <v>2272</v>
      </c>
    </row>
    <row r="2273" spans="3:3" x14ac:dyDescent="0.3">
      <c r="C2273">
        <v>2273</v>
      </c>
    </row>
    <row r="2274" spans="3:3" x14ac:dyDescent="0.3">
      <c r="C2274">
        <v>2274</v>
      </c>
    </row>
    <row r="2275" spans="3:3" x14ac:dyDescent="0.3">
      <c r="C2275">
        <v>2275</v>
      </c>
    </row>
    <row r="2276" spans="3:3" x14ac:dyDescent="0.3">
      <c r="C2276">
        <v>2276</v>
      </c>
    </row>
    <row r="2277" spans="3:3" x14ac:dyDescent="0.3">
      <c r="C2277">
        <v>2277</v>
      </c>
    </row>
    <row r="2278" spans="3:3" x14ac:dyDescent="0.3">
      <c r="C2278">
        <v>2278</v>
      </c>
    </row>
    <row r="2279" spans="3:3" x14ac:dyDescent="0.3">
      <c r="C2279">
        <v>2279</v>
      </c>
    </row>
    <row r="2280" spans="3:3" x14ac:dyDescent="0.3">
      <c r="C2280">
        <v>2280</v>
      </c>
    </row>
    <row r="2281" spans="3:3" x14ac:dyDescent="0.3">
      <c r="C2281">
        <v>2281</v>
      </c>
    </row>
    <row r="2282" spans="3:3" x14ac:dyDescent="0.3">
      <c r="C2282">
        <v>2282</v>
      </c>
    </row>
    <row r="2283" spans="3:3" x14ac:dyDescent="0.3">
      <c r="C2283">
        <v>2283</v>
      </c>
    </row>
    <row r="2284" spans="3:3" x14ac:dyDescent="0.3">
      <c r="C2284">
        <v>2284</v>
      </c>
    </row>
    <row r="2285" spans="3:3" x14ac:dyDescent="0.3">
      <c r="C2285">
        <v>2285</v>
      </c>
    </row>
    <row r="2286" spans="3:3" x14ac:dyDescent="0.3">
      <c r="C2286">
        <v>2286</v>
      </c>
    </row>
    <row r="2287" spans="3:3" x14ac:dyDescent="0.3">
      <c r="C2287">
        <v>2287</v>
      </c>
    </row>
    <row r="2288" spans="3:3" x14ac:dyDescent="0.3">
      <c r="C2288">
        <v>2288</v>
      </c>
    </row>
    <row r="2289" spans="3:3" x14ac:dyDescent="0.3">
      <c r="C2289">
        <v>2289</v>
      </c>
    </row>
    <row r="2290" spans="3:3" x14ac:dyDescent="0.3">
      <c r="C2290">
        <v>2290</v>
      </c>
    </row>
    <row r="2291" spans="3:3" x14ac:dyDescent="0.3">
      <c r="C2291">
        <v>2291</v>
      </c>
    </row>
    <row r="2292" spans="3:3" x14ac:dyDescent="0.3">
      <c r="C2292">
        <v>2292</v>
      </c>
    </row>
    <row r="2293" spans="3:3" x14ac:dyDescent="0.3">
      <c r="C2293">
        <v>2293</v>
      </c>
    </row>
    <row r="2294" spans="3:3" x14ac:dyDescent="0.3">
      <c r="C2294">
        <v>2294</v>
      </c>
    </row>
    <row r="2295" spans="3:3" x14ac:dyDescent="0.3">
      <c r="C2295">
        <v>2295</v>
      </c>
    </row>
    <row r="2296" spans="3:3" x14ac:dyDescent="0.3">
      <c r="C2296">
        <v>2296</v>
      </c>
    </row>
    <row r="2297" spans="3:3" x14ac:dyDescent="0.3">
      <c r="C2297">
        <v>2297</v>
      </c>
    </row>
    <row r="2298" spans="3:3" x14ac:dyDescent="0.3">
      <c r="C2298">
        <v>2298</v>
      </c>
    </row>
    <row r="2299" spans="3:3" x14ac:dyDescent="0.3">
      <c r="C2299">
        <v>2299</v>
      </c>
    </row>
    <row r="2300" spans="3:3" x14ac:dyDescent="0.3">
      <c r="C2300">
        <v>2300</v>
      </c>
    </row>
    <row r="2301" spans="3:3" x14ac:dyDescent="0.3">
      <c r="C2301">
        <v>2301</v>
      </c>
    </row>
    <row r="2302" spans="3:3" x14ac:dyDescent="0.3">
      <c r="C2302">
        <v>2302</v>
      </c>
    </row>
    <row r="2303" spans="3:3" x14ac:dyDescent="0.3">
      <c r="C2303">
        <v>2303</v>
      </c>
    </row>
    <row r="2304" spans="3:3" x14ac:dyDescent="0.3">
      <c r="C2304">
        <v>2304</v>
      </c>
    </row>
    <row r="2305" spans="3:3" x14ac:dyDescent="0.3">
      <c r="C2305">
        <v>2305</v>
      </c>
    </row>
    <row r="2306" spans="3:3" x14ac:dyDescent="0.3">
      <c r="C2306">
        <v>2306</v>
      </c>
    </row>
    <row r="2307" spans="3:3" x14ac:dyDescent="0.3">
      <c r="C2307">
        <v>2307</v>
      </c>
    </row>
    <row r="2308" spans="3:3" x14ac:dyDescent="0.3">
      <c r="C2308">
        <v>2308</v>
      </c>
    </row>
    <row r="2309" spans="3:3" x14ac:dyDescent="0.3">
      <c r="C2309">
        <v>2309</v>
      </c>
    </row>
    <row r="2310" spans="3:3" x14ac:dyDescent="0.3">
      <c r="C2310">
        <v>2310</v>
      </c>
    </row>
    <row r="2311" spans="3:3" x14ac:dyDescent="0.3">
      <c r="C2311">
        <v>2311</v>
      </c>
    </row>
    <row r="2312" spans="3:3" x14ac:dyDescent="0.3">
      <c r="C2312">
        <v>2312</v>
      </c>
    </row>
    <row r="2313" spans="3:3" x14ac:dyDescent="0.3">
      <c r="C2313">
        <v>2313</v>
      </c>
    </row>
    <row r="2314" spans="3:3" x14ac:dyDescent="0.3">
      <c r="C2314">
        <v>2314</v>
      </c>
    </row>
    <row r="2315" spans="3:3" x14ac:dyDescent="0.3">
      <c r="C2315">
        <v>2315</v>
      </c>
    </row>
    <row r="2316" spans="3:3" x14ac:dyDescent="0.3">
      <c r="C2316">
        <v>2316</v>
      </c>
    </row>
    <row r="2317" spans="3:3" x14ac:dyDescent="0.3">
      <c r="C2317">
        <v>2317</v>
      </c>
    </row>
    <row r="2318" spans="3:3" x14ac:dyDescent="0.3">
      <c r="C2318">
        <v>2318</v>
      </c>
    </row>
    <row r="2319" spans="3:3" x14ac:dyDescent="0.3">
      <c r="C2319">
        <v>2319</v>
      </c>
    </row>
    <row r="2320" spans="3:3" x14ac:dyDescent="0.3">
      <c r="C2320">
        <v>2320</v>
      </c>
    </row>
    <row r="2321" spans="3:3" x14ac:dyDescent="0.3">
      <c r="C2321">
        <v>2321</v>
      </c>
    </row>
    <row r="2322" spans="3:3" x14ac:dyDescent="0.3">
      <c r="C2322">
        <v>2322</v>
      </c>
    </row>
    <row r="2323" spans="3:3" x14ac:dyDescent="0.3">
      <c r="C2323">
        <v>2323</v>
      </c>
    </row>
    <row r="2324" spans="3:3" x14ac:dyDescent="0.3">
      <c r="C2324">
        <v>2324</v>
      </c>
    </row>
    <row r="2325" spans="3:3" x14ac:dyDescent="0.3">
      <c r="C2325">
        <v>2325</v>
      </c>
    </row>
    <row r="2326" spans="3:3" x14ac:dyDescent="0.3">
      <c r="C2326">
        <v>2326</v>
      </c>
    </row>
    <row r="2327" spans="3:3" x14ac:dyDescent="0.3">
      <c r="C2327">
        <v>2327</v>
      </c>
    </row>
    <row r="2328" spans="3:3" x14ac:dyDescent="0.3">
      <c r="C2328">
        <v>2328</v>
      </c>
    </row>
    <row r="2329" spans="3:3" x14ac:dyDescent="0.3">
      <c r="C2329">
        <v>2329</v>
      </c>
    </row>
    <row r="2330" spans="3:3" x14ac:dyDescent="0.3">
      <c r="C2330">
        <v>2330</v>
      </c>
    </row>
    <row r="2331" spans="3:3" x14ac:dyDescent="0.3">
      <c r="C2331">
        <v>2331</v>
      </c>
    </row>
    <row r="2332" spans="3:3" x14ac:dyDescent="0.3">
      <c r="C2332">
        <v>2332</v>
      </c>
    </row>
    <row r="2333" spans="3:3" x14ac:dyDescent="0.3">
      <c r="C2333">
        <v>2333</v>
      </c>
    </row>
    <row r="2334" spans="3:3" x14ac:dyDescent="0.3">
      <c r="C2334">
        <v>2334</v>
      </c>
    </row>
    <row r="2335" spans="3:3" x14ac:dyDescent="0.3">
      <c r="C2335">
        <v>2335</v>
      </c>
    </row>
    <row r="2336" spans="3:3" x14ac:dyDescent="0.3">
      <c r="C2336">
        <v>2336</v>
      </c>
    </row>
    <row r="2337" spans="3:3" x14ac:dyDescent="0.3">
      <c r="C2337">
        <v>2337</v>
      </c>
    </row>
    <row r="2338" spans="3:3" x14ac:dyDescent="0.3">
      <c r="C2338">
        <v>2338</v>
      </c>
    </row>
    <row r="2339" spans="3:3" x14ac:dyDescent="0.3">
      <c r="C2339">
        <v>2339</v>
      </c>
    </row>
    <row r="2340" spans="3:3" x14ac:dyDescent="0.3">
      <c r="C2340">
        <v>2340</v>
      </c>
    </row>
    <row r="2341" spans="3:3" x14ac:dyDescent="0.3">
      <c r="C2341">
        <v>2341</v>
      </c>
    </row>
    <row r="2342" spans="3:3" x14ac:dyDescent="0.3">
      <c r="C2342">
        <v>2342</v>
      </c>
    </row>
    <row r="2343" spans="3:3" x14ac:dyDescent="0.3">
      <c r="C2343">
        <v>2343</v>
      </c>
    </row>
    <row r="2344" spans="3:3" x14ac:dyDescent="0.3">
      <c r="C2344">
        <v>2344</v>
      </c>
    </row>
    <row r="2345" spans="3:3" x14ac:dyDescent="0.3">
      <c r="C2345">
        <v>2345</v>
      </c>
    </row>
    <row r="2346" spans="3:3" x14ac:dyDescent="0.3">
      <c r="C2346">
        <v>2346</v>
      </c>
    </row>
    <row r="2347" spans="3:3" x14ac:dyDescent="0.3">
      <c r="C2347">
        <v>2347</v>
      </c>
    </row>
    <row r="2348" spans="3:3" x14ac:dyDescent="0.3">
      <c r="C2348">
        <v>2348</v>
      </c>
    </row>
    <row r="2349" spans="3:3" x14ac:dyDescent="0.3">
      <c r="C2349">
        <v>2349</v>
      </c>
    </row>
    <row r="2350" spans="3:3" x14ac:dyDescent="0.3">
      <c r="C2350">
        <v>2350</v>
      </c>
    </row>
    <row r="2351" spans="3:3" x14ac:dyDescent="0.3">
      <c r="C2351">
        <v>2351</v>
      </c>
    </row>
    <row r="2352" spans="3:3" x14ac:dyDescent="0.3">
      <c r="C2352">
        <v>2352</v>
      </c>
    </row>
    <row r="2353" spans="3:3" x14ac:dyDescent="0.3">
      <c r="C2353">
        <v>2353</v>
      </c>
    </row>
    <row r="2354" spans="3:3" x14ac:dyDescent="0.3">
      <c r="C2354">
        <v>2354</v>
      </c>
    </row>
    <row r="2355" spans="3:3" x14ac:dyDescent="0.3">
      <c r="C2355">
        <v>2355</v>
      </c>
    </row>
    <row r="2356" spans="3:3" x14ac:dyDescent="0.3">
      <c r="C2356">
        <v>2356</v>
      </c>
    </row>
    <row r="2357" spans="3:3" x14ac:dyDescent="0.3">
      <c r="C2357">
        <v>2357</v>
      </c>
    </row>
    <row r="2358" spans="3:3" x14ac:dyDescent="0.3">
      <c r="C2358">
        <v>2358</v>
      </c>
    </row>
    <row r="2359" spans="3:3" x14ac:dyDescent="0.3">
      <c r="C2359">
        <v>2359</v>
      </c>
    </row>
    <row r="2360" spans="3:3" x14ac:dyDescent="0.3">
      <c r="C2360">
        <v>2360</v>
      </c>
    </row>
    <row r="2361" spans="3:3" x14ac:dyDescent="0.3">
      <c r="C2361">
        <v>2361</v>
      </c>
    </row>
    <row r="2362" spans="3:3" x14ac:dyDescent="0.3">
      <c r="C2362">
        <v>2362</v>
      </c>
    </row>
    <row r="2363" spans="3:3" x14ac:dyDescent="0.3">
      <c r="C2363">
        <v>2363</v>
      </c>
    </row>
    <row r="2364" spans="3:3" x14ac:dyDescent="0.3">
      <c r="C2364">
        <v>2364</v>
      </c>
    </row>
    <row r="2365" spans="3:3" x14ac:dyDescent="0.3">
      <c r="C2365">
        <v>2365</v>
      </c>
    </row>
    <row r="2366" spans="3:3" x14ac:dyDescent="0.3">
      <c r="C2366">
        <v>2366</v>
      </c>
    </row>
    <row r="2367" spans="3:3" x14ac:dyDescent="0.3">
      <c r="C2367">
        <v>2367</v>
      </c>
    </row>
    <row r="2368" spans="3:3" x14ac:dyDescent="0.3">
      <c r="C2368">
        <v>2368</v>
      </c>
    </row>
    <row r="2369" spans="3:3" x14ac:dyDescent="0.3">
      <c r="C2369">
        <v>2369</v>
      </c>
    </row>
    <row r="2370" spans="3:3" x14ac:dyDescent="0.3">
      <c r="C2370">
        <v>2370</v>
      </c>
    </row>
    <row r="2371" spans="3:3" x14ac:dyDescent="0.3">
      <c r="C2371">
        <v>2371</v>
      </c>
    </row>
    <row r="2372" spans="3:3" x14ac:dyDescent="0.3">
      <c r="C2372">
        <v>2372</v>
      </c>
    </row>
    <row r="2373" spans="3:3" x14ac:dyDescent="0.3">
      <c r="C2373">
        <v>2373</v>
      </c>
    </row>
    <row r="2374" spans="3:3" x14ac:dyDescent="0.3">
      <c r="C2374">
        <v>2374</v>
      </c>
    </row>
    <row r="2375" spans="3:3" x14ac:dyDescent="0.3">
      <c r="C2375">
        <v>2375</v>
      </c>
    </row>
    <row r="2376" spans="3:3" x14ac:dyDescent="0.3">
      <c r="C2376">
        <v>2376</v>
      </c>
    </row>
    <row r="2377" spans="3:3" x14ac:dyDescent="0.3">
      <c r="C2377">
        <v>2377</v>
      </c>
    </row>
    <row r="2378" spans="3:3" x14ac:dyDescent="0.3">
      <c r="C2378">
        <v>2378</v>
      </c>
    </row>
    <row r="2379" spans="3:3" x14ac:dyDescent="0.3">
      <c r="C2379">
        <v>2379</v>
      </c>
    </row>
    <row r="2380" spans="3:3" x14ac:dyDescent="0.3">
      <c r="C2380">
        <v>2380</v>
      </c>
    </row>
    <row r="2381" spans="3:3" x14ac:dyDescent="0.3">
      <c r="C2381">
        <v>2381</v>
      </c>
    </row>
    <row r="2382" spans="3:3" x14ac:dyDescent="0.3">
      <c r="C2382">
        <v>2382</v>
      </c>
    </row>
    <row r="2383" spans="3:3" x14ac:dyDescent="0.3">
      <c r="C2383">
        <v>2383</v>
      </c>
    </row>
    <row r="2384" spans="3:3" x14ac:dyDescent="0.3">
      <c r="C2384">
        <v>2384</v>
      </c>
    </row>
    <row r="2385" spans="3:3" x14ac:dyDescent="0.3">
      <c r="C2385">
        <v>2385</v>
      </c>
    </row>
    <row r="2386" spans="3:3" x14ac:dyDescent="0.3">
      <c r="C2386">
        <v>2386</v>
      </c>
    </row>
    <row r="2387" spans="3:3" x14ac:dyDescent="0.3">
      <c r="C2387">
        <v>2387</v>
      </c>
    </row>
    <row r="2388" spans="3:3" x14ac:dyDescent="0.3">
      <c r="C2388">
        <v>2388</v>
      </c>
    </row>
    <row r="2389" spans="3:3" x14ac:dyDescent="0.3">
      <c r="C2389">
        <v>2389</v>
      </c>
    </row>
    <row r="2390" spans="3:3" x14ac:dyDescent="0.3">
      <c r="C2390">
        <v>2390</v>
      </c>
    </row>
    <row r="2391" spans="3:3" x14ac:dyDescent="0.3">
      <c r="C2391">
        <v>2391</v>
      </c>
    </row>
    <row r="2392" spans="3:3" x14ac:dyDescent="0.3">
      <c r="C2392">
        <v>2392</v>
      </c>
    </row>
    <row r="2393" spans="3:3" x14ac:dyDescent="0.3">
      <c r="C2393">
        <v>2393</v>
      </c>
    </row>
    <row r="2394" spans="3:3" x14ac:dyDescent="0.3">
      <c r="C2394">
        <v>2394</v>
      </c>
    </row>
    <row r="2395" spans="3:3" x14ac:dyDescent="0.3">
      <c r="C2395">
        <v>2395</v>
      </c>
    </row>
    <row r="2396" spans="3:3" x14ac:dyDescent="0.3">
      <c r="C2396">
        <v>2396</v>
      </c>
    </row>
    <row r="2397" spans="3:3" x14ac:dyDescent="0.3">
      <c r="C2397">
        <v>2397</v>
      </c>
    </row>
    <row r="2398" spans="3:3" x14ac:dyDescent="0.3">
      <c r="C2398">
        <v>2398</v>
      </c>
    </row>
    <row r="2399" spans="3:3" x14ac:dyDescent="0.3">
      <c r="C2399">
        <v>2399</v>
      </c>
    </row>
    <row r="2400" spans="3:3" x14ac:dyDescent="0.3">
      <c r="C2400">
        <v>2400</v>
      </c>
    </row>
    <row r="2401" spans="3:3" x14ac:dyDescent="0.3">
      <c r="C2401">
        <v>2401</v>
      </c>
    </row>
    <row r="2402" spans="3:3" x14ac:dyDescent="0.3">
      <c r="C2402">
        <v>2402</v>
      </c>
    </row>
    <row r="2403" spans="3:3" x14ac:dyDescent="0.3">
      <c r="C2403">
        <v>2403</v>
      </c>
    </row>
    <row r="2404" spans="3:3" x14ac:dyDescent="0.3">
      <c r="C2404">
        <v>2404</v>
      </c>
    </row>
    <row r="2405" spans="3:3" x14ac:dyDescent="0.3">
      <c r="C2405">
        <v>2405</v>
      </c>
    </row>
    <row r="2406" spans="3:3" x14ac:dyDescent="0.3">
      <c r="C2406">
        <v>2406</v>
      </c>
    </row>
    <row r="2407" spans="3:3" x14ac:dyDescent="0.3">
      <c r="C2407">
        <v>2407</v>
      </c>
    </row>
    <row r="2408" spans="3:3" x14ac:dyDescent="0.3">
      <c r="C2408">
        <v>2408</v>
      </c>
    </row>
    <row r="2409" spans="3:3" x14ac:dyDescent="0.3">
      <c r="C2409">
        <v>2409</v>
      </c>
    </row>
    <row r="2410" spans="3:3" x14ac:dyDescent="0.3">
      <c r="C2410">
        <v>2410</v>
      </c>
    </row>
    <row r="2411" spans="3:3" x14ac:dyDescent="0.3">
      <c r="C2411">
        <v>2411</v>
      </c>
    </row>
    <row r="2412" spans="3:3" x14ac:dyDescent="0.3">
      <c r="C2412">
        <v>2412</v>
      </c>
    </row>
    <row r="2413" spans="3:3" x14ac:dyDescent="0.3">
      <c r="C2413">
        <v>2413</v>
      </c>
    </row>
    <row r="2414" spans="3:3" x14ac:dyDescent="0.3">
      <c r="C2414">
        <v>2414</v>
      </c>
    </row>
    <row r="2415" spans="3:3" x14ac:dyDescent="0.3">
      <c r="C2415">
        <v>2415</v>
      </c>
    </row>
    <row r="2416" spans="3:3" x14ac:dyDescent="0.3">
      <c r="C2416">
        <v>2416</v>
      </c>
    </row>
    <row r="2417" spans="3:3" x14ac:dyDescent="0.3">
      <c r="C2417">
        <v>2417</v>
      </c>
    </row>
    <row r="2418" spans="3:3" x14ac:dyDescent="0.3">
      <c r="C2418">
        <v>2418</v>
      </c>
    </row>
    <row r="2419" spans="3:3" x14ac:dyDescent="0.3">
      <c r="C2419">
        <v>2419</v>
      </c>
    </row>
    <row r="2420" spans="3:3" x14ac:dyDescent="0.3">
      <c r="C2420">
        <v>2420</v>
      </c>
    </row>
    <row r="2421" spans="3:3" x14ac:dyDescent="0.3">
      <c r="C2421">
        <v>2421</v>
      </c>
    </row>
    <row r="2422" spans="3:3" x14ac:dyDescent="0.3">
      <c r="C2422">
        <v>2422</v>
      </c>
    </row>
    <row r="2423" spans="3:3" x14ac:dyDescent="0.3">
      <c r="C2423">
        <v>2423</v>
      </c>
    </row>
    <row r="2424" spans="3:3" x14ac:dyDescent="0.3">
      <c r="C2424">
        <v>2424</v>
      </c>
    </row>
    <row r="2425" spans="3:3" x14ac:dyDescent="0.3">
      <c r="C2425">
        <v>2425</v>
      </c>
    </row>
    <row r="2426" spans="3:3" x14ac:dyDescent="0.3">
      <c r="C2426">
        <v>2426</v>
      </c>
    </row>
    <row r="2427" spans="3:3" x14ac:dyDescent="0.3">
      <c r="C2427">
        <v>2427</v>
      </c>
    </row>
    <row r="2428" spans="3:3" x14ac:dyDescent="0.3">
      <c r="C2428">
        <v>2428</v>
      </c>
    </row>
    <row r="2429" spans="3:3" x14ac:dyDescent="0.3">
      <c r="C2429">
        <v>2429</v>
      </c>
    </row>
    <row r="2430" spans="3:3" x14ac:dyDescent="0.3">
      <c r="C2430">
        <v>2430</v>
      </c>
    </row>
    <row r="2431" spans="3:3" x14ac:dyDescent="0.3">
      <c r="C2431">
        <v>2431</v>
      </c>
    </row>
    <row r="2432" spans="3:3" x14ac:dyDescent="0.3">
      <c r="C2432">
        <v>2432</v>
      </c>
    </row>
    <row r="2433" spans="3:3" x14ac:dyDescent="0.3">
      <c r="C2433">
        <v>2433</v>
      </c>
    </row>
    <row r="2434" spans="3:3" x14ac:dyDescent="0.3">
      <c r="C2434">
        <v>2434</v>
      </c>
    </row>
    <row r="2435" spans="3:3" x14ac:dyDescent="0.3">
      <c r="C2435">
        <v>2435</v>
      </c>
    </row>
    <row r="2436" spans="3:3" x14ac:dyDescent="0.3">
      <c r="C2436">
        <v>2436</v>
      </c>
    </row>
    <row r="2437" spans="3:3" x14ac:dyDescent="0.3">
      <c r="C2437">
        <v>2437</v>
      </c>
    </row>
    <row r="2438" spans="3:3" x14ac:dyDescent="0.3">
      <c r="C2438">
        <v>2438</v>
      </c>
    </row>
    <row r="2439" spans="3:3" x14ac:dyDescent="0.3">
      <c r="C2439">
        <v>2439</v>
      </c>
    </row>
    <row r="2440" spans="3:3" x14ac:dyDescent="0.3">
      <c r="C2440">
        <v>2440</v>
      </c>
    </row>
    <row r="2441" spans="3:3" x14ac:dyDescent="0.3">
      <c r="C2441">
        <v>2441</v>
      </c>
    </row>
    <row r="2442" spans="3:3" x14ac:dyDescent="0.3">
      <c r="C2442">
        <v>2442</v>
      </c>
    </row>
    <row r="2443" spans="3:3" x14ac:dyDescent="0.3">
      <c r="C2443">
        <v>2443</v>
      </c>
    </row>
    <row r="2444" spans="3:3" x14ac:dyDescent="0.3">
      <c r="C2444">
        <v>2444</v>
      </c>
    </row>
    <row r="2445" spans="3:3" x14ac:dyDescent="0.3">
      <c r="C2445">
        <v>2445</v>
      </c>
    </row>
    <row r="2446" spans="3:3" x14ac:dyDescent="0.3">
      <c r="C2446">
        <v>2446</v>
      </c>
    </row>
    <row r="2447" spans="3:3" x14ac:dyDescent="0.3">
      <c r="C2447">
        <v>2447</v>
      </c>
    </row>
    <row r="2448" spans="3:3" x14ac:dyDescent="0.3">
      <c r="C2448">
        <v>2448</v>
      </c>
    </row>
    <row r="2449" spans="3:3" x14ac:dyDescent="0.3">
      <c r="C2449">
        <v>2449</v>
      </c>
    </row>
    <row r="2450" spans="3:3" x14ac:dyDescent="0.3">
      <c r="C2450">
        <v>2450</v>
      </c>
    </row>
    <row r="2451" spans="3:3" x14ac:dyDescent="0.3">
      <c r="C2451">
        <v>2451</v>
      </c>
    </row>
    <row r="2452" spans="3:3" x14ac:dyDescent="0.3">
      <c r="C2452">
        <v>2452</v>
      </c>
    </row>
    <row r="2453" spans="3:3" x14ac:dyDescent="0.3">
      <c r="C2453">
        <v>2453</v>
      </c>
    </row>
    <row r="2454" spans="3:3" x14ac:dyDescent="0.3">
      <c r="C2454">
        <v>2454</v>
      </c>
    </row>
    <row r="2455" spans="3:3" x14ac:dyDescent="0.3">
      <c r="C2455">
        <v>2455</v>
      </c>
    </row>
    <row r="2456" spans="3:3" x14ac:dyDescent="0.3">
      <c r="C2456">
        <v>2456</v>
      </c>
    </row>
    <row r="2457" spans="3:3" x14ac:dyDescent="0.3">
      <c r="C2457">
        <v>2457</v>
      </c>
    </row>
    <row r="2458" spans="3:3" x14ac:dyDescent="0.3">
      <c r="C2458">
        <v>2458</v>
      </c>
    </row>
    <row r="2459" spans="3:3" x14ac:dyDescent="0.3">
      <c r="C2459">
        <v>2459</v>
      </c>
    </row>
    <row r="2460" spans="3:3" x14ac:dyDescent="0.3">
      <c r="C2460">
        <v>2460</v>
      </c>
    </row>
    <row r="2461" spans="3:3" x14ac:dyDescent="0.3">
      <c r="C2461">
        <v>2461</v>
      </c>
    </row>
    <row r="2462" spans="3:3" x14ac:dyDescent="0.3">
      <c r="C2462">
        <v>2462</v>
      </c>
    </row>
    <row r="2463" spans="3:3" x14ac:dyDescent="0.3">
      <c r="C2463">
        <v>2463</v>
      </c>
    </row>
    <row r="2464" spans="3:3" x14ac:dyDescent="0.3">
      <c r="C2464">
        <v>2464</v>
      </c>
    </row>
    <row r="2465" spans="3:3" x14ac:dyDescent="0.3">
      <c r="C2465">
        <v>2465</v>
      </c>
    </row>
    <row r="2466" spans="3:3" x14ac:dyDescent="0.3">
      <c r="C2466">
        <v>2466</v>
      </c>
    </row>
    <row r="2467" spans="3:3" x14ac:dyDescent="0.3">
      <c r="C2467">
        <v>2467</v>
      </c>
    </row>
    <row r="2468" spans="3:3" x14ac:dyDescent="0.3">
      <c r="C2468">
        <v>2468</v>
      </c>
    </row>
    <row r="2469" spans="3:3" x14ac:dyDescent="0.3">
      <c r="C2469">
        <v>2469</v>
      </c>
    </row>
    <row r="2470" spans="3:3" x14ac:dyDescent="0.3">
      <c r="C2470">
        <v>2470</v>
      </c>
    </row>
    <row r="2471" spans="3:3" x14ac:dyDescent="0.3">
      <c r="C2471">
        <v>2471</v>
      </c>
    </row>
    <row r="2472" spans="3:3" x14ac:dyDescent="0.3">
      <c r="C2472">
        <v>2472</v>
      </c>
    </row>
    <row r="2473" spans="3:3" x14ac:dyDescent="0.3">
      <c r="C2473">
        <v>2473</v>
      </c>
    </row>
    <row r="2474" spans="3:3" x14ac:dyDescent="0.3">
      <c r="C2474">
        <v>2474</v>
      </c>
    </row>
    <row r="2475" spans="3:3" x14ac:dyDescent="0.3">
      <c r="C2475">
        <v>2475</v>
      </c>
    </row>
    <row r="2476" spans="3:3" x14ac:dyDescent="0.3">
      <c r="C2476">
        <v>2476</v>
      </c>
    </row>
    <row r="2477" spans="3:3" x14ac:dyDescent="0.3">
      <c r="C2477">
        <v>2477</v>
      </c>
    </row>
    <row r="2478" spans="3:3" x14ac:dyDescent="0.3">
      <c r="C2478">
        <v>2478</v>
      </c>
    </row>
    <row r="2479" spans="3:3" x14ac:dyDescent="0.3">
      <c r="C2479">
        <v>2479</v>
      </c>
    </row>
    <row r="2480" spans="3:3" x14ac:dyDescent="0.3">
      <c r="C2480">
        <v>2480</v>
      </c>
    </row>
    <row r="2481" spans="3:3" x14ac:dyDescent="0.3">
      <c r="C2481">
        <v>2481</v>
      </c>
    </row>
    <row r="2482" spans="3:3" x14ac:dyDescent="0.3">
      <c r="C2482">
        <v>2482</v>
      </c>
    </row>
    <row r="2483" spans="3:3" x14ac:dyDescent="0.3">
      <c r="C2483">
        <v>2483</v>
      </c>
    </row>
    <row r="2484" spans="3:3" x14ac:dyDescent="0.3">
      <c r="C2484">
        <v>2484</v>
      </c>
    </row>
    <row r="2485" spans="3:3" x14ac:dyDescent="0.3">
      <c r="C2485">
        <v>2485</v>
      </c>
    </row>
    <row r="2486" spans="3:3" x14ac:dyDescent="0.3">
      <c r="C2486">
        <v>2486</v>
      </c>
    </row>
    <row r="2487" spans="3:3" x14ac:dyDescent="0.3">
      <c r="C2487">
        <v>2487</v>
      </c>
    </row>
    <row r="2488" spans="3:3" x14ac:dyDescent="0.3">
      <c r="C2488">
        <v>2488</v>
      </c>
    </row>
    <row r="2489" spans="3:3" x14ac:dyDescent="0.3">
      <c r="C2489">
        <v>2489</v>
      </c>
    </row>
    <row r="2490" spans="3:3" x14ac:dyDescent="0.3">
      <c r="C2490">
        <v>2490</v>
      </c>
    </row>
    <row r="2491" spans="3:3" x14ac:dyDescent="0.3">
      <c r="C2491">
        <v>2491</v>
      </c>
    </row>
    <row r="2492" spans="3:3" x14ac:dyDescent="0.3">
      <c r="C2492">
        <v>2492</v>
      </c>
    </row>
    <row r="2493" spans="3:3" x14ac:dyDescent="0.3">
      <c r="C2493">
        <v>2493</v>
      </c>
    </row>
    <row r="2494" spans="3:3" x14ac:dyDescent="0.3">
      <c r="C2494">
        <v>2494</v>
      </c>
    </row>
    <row r="2495" spans="3:3" x14ac:dyDescent="0.3">
      <c r="C2495">
        <v>2495</v>
      </c>
    </row>
    <row r="2496" spans="3:3" x14ac:dyDescent="0.3">
      <c r="C2496">
        <v>2496</v>
      </c>
    </row>
    <row r="2497" spans="3:3" x14ac:dyDescent="0.3">
      <c r="C2497">
        <v>2497</v>
      </c>
    </row>
    <row r="2498" spans="3:3" x14ac:dyDescent="0.3">
      <c r="C2498">
        <v>2498</v>
      </c>
    </row>
    <row r="2499" spans="3:3" x14ac:dyDescent="0.3">
      <c r="C2499">
        <v>2499</v>
      </c>
    </row>
    <row r="2500" spans="3:3" x14ac:dyDescent="0.3">
      <c r="C2500">
        <v>2500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95BD-A983-463E-8FA6-694B6519BEBF}">
  <dimension ref="A1:N325"/>
  <sheetViews>
    <sheetView workbookViewId="0">
      <selection activeCell="B2" sqref="B2"/>
    </sheetView>
  </sheetViews>
  <sheetFormatPr defaultRowHeight="14.4" x14ac:dyDescent="0.3"/>
  <cols>
    <col min="1" max="1" width="32.77734375" bestFit="1" customWidth="1"/>
    <col min="2" max="2" width="12.44140625" customWidth="1"/>
    <col min="3" max="3" width="15.44140625" customWidth="1"/>
    <col min="4" max="4" width="11.44140625" customWidth="1"/>
    <col min="5" max="5" width="5.77734375" bestFit="1" customWidth="1"/>
    <col min="6" max="6" width="5.5546875" bestFit="1" customWidth="1"/>
    <col min="7" max="7" width="5.6640625" bestFit="1" customWidth="1"/>
    <col min="8" max="8" width="10.6640625" customWidth="1"/>
    <col min="9" max="9" width="15.77734375" customWidth="1"/>
    <col min="10" max="10" width="12.33203125" bestFit="1" customWidth="1"/>
    <col min="11" max="11" width="9.44140625" bestFit="1" customWidth="1"/>
    <col min="12" max="12" width="11.77734375" bestFit="1" customWidth="1"/>
    <col min="13" max="13" width="11.5546875" bestFit="1" customWidth="1"/>
    <col min="14" max="14" width="10.33203125" bestFit="1" customWidth="1"/>
  </cols>
  <sheetData>
    <row r="1" spans="1:14" ht="18" x14ac:dyDescent="0.3">
      <c r="A1" s="38" t="s">
        <v>434</v>
      </c>
      <c r="B1" s="39" t="s">
        <v>418</v>
      </c>
      <c r="C1" s="39" t="s">
        <v>419</v>
      </c>
      <c r="D1" s="39" t="s">
        <v>420</v>
      </c>
      <c r="E1" s="39" t="s">
        <v>421</v>
      </c>
      <c r="F1" s="39" t="s">
        <v>422</v>
      </c>
      <c r="G1" s="39" t="s">
        <v>423</v>
      </c>
      <c r="H1" s="39" t="s">
        <v>424</v>
      </c>
      <c r="I1" s="39" t="s">
        <v>425</v>
      </c>
      <c r="J1" s="39" t="s">
        <v>426</v>
      </c>
      <c r="K1" s="39" t="s">
        <v>427</v>
      </c>
      <c r="L1" s="39" t="s">
        <v>428</v>
      </c>
      <c r="M1" s="39" t="s">
        <v>429</v>
      </c>
      <c r="N1" s="40" t="s">
        <v>435</v>
      </c>
    </row>
    <row r="2" spans="1:14" ht="18" x14ac:dyDescent="0.3">
      <c r="A2" s="34" t="s">
        <v>10</v>
      </c>
      <c r="B2" s="24" cm="1">
        <f t="array" ref="B2:M325">SUMIFS('Duplicate actual'!$L$2:$L$437,'Duplicate actual'!$B$2:$B$437,Sumifs!A2:A325,'Duplicate actual'!$C$2:$C$437,Sumifs!B1:M1)</f>
        <v>3360636</v>
      </c>
      <c r="C2" s="24">
        <v>0</v>
      </c>
      <c r="D2" s="24">
        <v>0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35">
        <f>SUM($B2:$L2)</f>
        <v>3360636</v>
      </c>
    </row>
    <row r="3" spans="1:14" ht="18" x14ac:dyDescent="0.3">
      <c r="A3" s="34" t="s">
        <v>16</v>
      </c>
      <c r="B3" s="24">
        <v>4645386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35">
        <f t="shared" ref="N3:N66" si="0">SUM($B3:$L3)</f>
        <v>4645386</v>
      </c>
    </row>
    <row r="4" spans="1:14" ht="18" x14ac:dyDescent="0.3">
      <c r="A4" s="34" t="s">
        <v>21</v>
      </c>
      <c r="B4" s="24">
        <v>1523865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35">
        <f t="shared" si="0"/>
        <v>1523865</v>
      </c>
    </row>
    <row r="5" spans="1:14" ht="18" x14ac:dyDescent="0.3">
      <c r="A5" s="34" t="s">
        <v>25</v>
      </c>
      <c r="B5" s="24">
        <v>3566605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35">
        <f t="shared" si="0"/>
        <v>3566605</v>
      </c>
    </row>
    <row r="6" spans="1:14" ht="18" x14ac:dyDescent="0.3">
      <c r="A6" s="34" t="s">
        <v>29</v>
      </c>
      <c r="B6" s="24">
        <v>3745491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35">
        <f t="shared" si="0"/>
        <v>3745491</v>
      </c>
    </row>
    <row r="7" spans="1:14" ht="18" x14ac:dyDescent="0.3">
      <c r="A7" s="34" t="s">
        <v>34</v>
      </c>
      <c r="B7" s="24">
        <v>4064994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35">
        <f t="shared" si="0"/>
        <v>4064994</v>
      </c>
    </row>
    <row r="8" spans="1:14" ht="18" x14ac:dyDescent="0.3">
      <c r="A8" s="34" t="s">
        <v>37</v>
      </c>
      <c r="B8" s="24">
        <v>5541240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35">
        <f t="shared" si="0"/>
        <v>5541240</v>
      </c>
    </row>
    <row r="9" spans="1:14" ht="18" x14ac:dyDescent="0.3">
      <c r="A9" s="34" t="s">
        <v>140</v>
      </c>
      <c r="B9" s="24">
        <v>8137188</v>
      </c>
      <c r="C9" s="24">
        <v>16274376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35">
        <f t="shared" si="0"/>
        <v>24411564</v>
      </c>
    </row>
    <row r="10" spans="1:14" ht="18" x14ac:dyDescent="0.3">
      <c r="A10" s="34" t="s">
        <v>141</v>
      </c>
      <c r="B10" s="24">
        <v>3544944</v>
      </c>
      <c r="C10" s="24">
        <v>7089888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35">
        <f t="shared" si="0"/>
        <v>10634832</v>
      </c>
    </row>
    <row r="11" spans="1:14" ht="18" x14ac:dyDescent="0.3">
      <c r="A11" s="34" t="s">
        <v>142</v>
      </c>
      <c r="B11" s="24">
        <v>9233430</v>
      </c>
      <c r="C11" s="24">
        <v>18466860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35">
        <f t="shared" si="0"/>
        <v>27700290</v>
      </c>
    </row>
    <row r="12" spans="1:14" ht="18" x14ac:dyDescent="0.3">
      <c r="A12" s="34" t="s">
        <v>143</v>
      </c>
      <c r="B12" s="24">
        <v>7545720</v>
      </c>
      <c r="C12" s="24">
        <v>15091440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35">
        <f t="shared" si="0"/>
        <v>22637160</v>
      </c>
    </row>
    <row r="13" spans="1:14" ht="18" x14ac:dyDescent="0.3">
      <c r="A13" s="34" t="s">
        <v>144</v>
      </c>
      <c r="B13" s="24">
        <v>4431556</v>
      </c>
      <c r="C13" s="24">
        <v>8863112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35">
        <f t="shared" si="0"/>
        <v>13294668</v>
      </c>
    </row>
    <row r="14" spans="1:14" ht="18" x14ac:dyDescent="0.3">
      <c r="A14" s="34" t="s">
        <v>145</v>
      </c>
      <c r="B14" s="24">
        <v>6126372</v>
      </c>
      <c r="C14" s="24">
        <v>12252744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35">
        <f t="shared" si="0"/>
        <v>18379116</v>
      </c>
    </row>
    <row r="15" spans="1:14" ht="18" x14ac:dyDescent="0.3">
      <c r="A15" s="34" t="s">
        <v>147</v>
      </c>
      <c r="B15" s="24">
        <v>5987340</v>
      </c>
      <c r="C15" s="24">
        <v>11974680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35">
        <f t="shared" si="0"/>
        <v>17962020</v>
      </c>
    </row>
    <row r="16" spans="1:14" ht="18" x14ac:dyDescent="0.3">
      <c r="A16" s="34" t="s">
        <v>148</v>
      </c>
      <c r="B16" s="24">
        <v>3440310</v>
      </c>
      <c r="C16" s="24">
        <v>6880620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35">
        <f t="shared" si="0"/>
        <v>10320930</v>
      </c>
    </row>
    <row r="17" spans="1:14" ht="18" x14ac:dyDescent="0.3">
      <c r="A17" s="34" t="s">
        <v>149</v>
      </c>
      <c r="B17" s="24">
        <v>3300091</v>
      </c>
      <c r="C17" s="24">
        <v>3300091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35">
        <f t="shared" si="0"/>
        <v>6600182</v>
      </c>
    </row>
    <row r="18" spans="1:14" ht="18" x14ac:dyDescent="0.3">
      <c r="A18" s="34" t="s">
        <v>150</v>
      </c>
      <c r="B18" s="24">
        <v>5136975</v>
      </c>
      <c r="C18" s="24">
        <v>5136975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35">
        <f t="shared" si="0"/>
        <v>10273950</v>
      </c>
    </row>
    <row r="19" spans="1:14" ht="18" x14ac:dyDescent="0.3">
      <c r="A19" s="34" t="s">
        <v>151</v>
      </c>
      <c r="B19" s="24">
        <v>2897782</v>
      </c>
      <c r="C19" s="24">
        <v>2897782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35">
        <f t="shared" si="0"/>
        <v>5795564</v>
      </c>
    </row>
    <row r="20" spans="1:14" ht="18" x14ac:dyDescent="0.3">
      <c r="A20" s="34" t="s">
        <v>152</v>
      </c>
      <c r="B20" s="24">
        <v>1852065</v>
      </c>
      <c r="C20" s="24">
        <v>1852065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35">
        <f t="shared" si="0"/>
        <v>3704130</v>
      </c>
    </row>
    <row r="21" spans="1:14" ht="18" x14ac:dyDescent="0.3">
      <c r="A21" s="34" t="s">
        <v>40</v>
      </c>
      <c r="B21" s="24">
        <v>4966948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35">
        <f t="shared" si="0"/>
        <v>4966948</v>
      </c>
    </row>
    <row r="22" spans="1:14" ht="18" x14ac:dyDescent="0.3">
      <c r="A22" s="34" t="s">
        <v>42</v>
      </c>
      <c r="B22" s="24">
        <v>1518426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35">
        <f t="shared" si="0"/>
        <v>1518426</v>
      </c>
    </row>
    <row r="23" spans="1:14" ht="18" x14ac:dyDescent="0.3">
      <c r="A23" s="34" t="s">
        <v>46</v>
      </c>
      <c r="B23" s="24">
        <v>0</v>
      </c>
      <c r="C23" s="24">
        <v>828548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35">
        <f t="shared" si="0"/>
        <v>828548</v>
      </c>
    </row>
    <row r="24" spans="1:14" ht="18" x14ac:dyDescent="0.3">
      <c r="A24" s="34" t="s">
        <v>48</v>
      </c>
      <c r="B24" s="24">
        <v>0</v>
      </c>
      <c r="C24" s="24">
        <v>2681953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35">
        <f t="shared" si="0"/>
        <v>2681953</v>
      </c>
    </row>
    <row r="25" spans="1:14" ht="18" x14ac:dyDescent="0.3">
      <c r="A25" s="34" t="s">
        <v>51</v>
      </c>
      <c r="B25" s="24">
        <v>0</v>
      </c>
      <c r="C25" s="24">
        <v>3443532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35">
        <f t="shared" si="0"/>
        <v>3443532</v>
      </c>
    </row>
    <row r="26" spans="1:14" ht="18" x14ac:dyDescent="0.3">
      <c r="A26" s="34" t="s">
        <v>53</v>
      </c>
      <c r="B26" s="24">
        <v>0</v>
      </c>
      <c r="C26" s="24">
        <v>3577658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35">
        <f t="shared" si="0"/>
        <v>3577658</v>
      </c>
    </row>
    <row r="27" spans="1:14" ht="18" x14ac:dyDescent="0.3">
      <c r="A27" s="34" t="s">
        <v>55</v>
      </c>
      <c r="B27" s="24">
        <v>0</v>
      </c>
      <c r="C27" s="24">
        <v>1276242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35">
        <f t="shared" si="0"/>
        <v>1276242</v>
      </c>
    </row>
    <row r="28" spans="1:14" ht="18" x14ac:dyDescent="0.3">
      <c r="A28" s="34" t="s">
        <v>59</v>
      </c>
      <c r="B28" s="24">
        <v>0</v>
      </c>
      <c r="C28" s="24">
        <v>5512404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35">
        <f t="shared" si="0"/>
        <v>5512404</v>
      </c>
    </row>
    <row r="29" spans="1:14" ht="18" x14ac:dyDescent="0.3">
      <c r="A29" s="34" t="s">
        <v>62</v>
      </c>
      <c r="B29" s="24">
        <v>0</v>
      </c>
      <c r="C29" s="24">
        <v>1984929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35">
        <f t="shared" si="0"/>
        <v>1984929</v>
      </c>
    </row>
    <row r="30" spans="1:14" ht="18" x14ac:dyDescent="0.3">
      <c r="A30" s="34" t="s">
        <v>65</v>
      </c>
      <c r="B30" s="24">
        <v>0</v>
      </c>
      <c r="C30" s="24">
        <v>3014882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35">
        <f t="shared" si="0"/>
        <v>3014882</v>
      </c>
    </row>
    <row r="31" spans="1:14" ht="18" x14ac:dyDescent="0.3">
      <c r="A31" s="34" t="s">
        <v>67</v>
      </c>
      <c r="B31" s="24">
        <v>0</v>
      </c>
      <c r="C31" s="24">
        <v>4510462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35">
        <f t="shared" si="0"/>
        <v>4510462</v>
      </c>
    </row>
    <row r="32" spans="1:14" ht="18" x14ac:dyDescent="0.3">
      <c r="A32" s="34" t="s">
        <v>114</v>
      </c>
      <c r="B32" s="24">
        <v>0</v>
      </c>
      <c r="C32" s="24">
        <v>7471140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35">
        <f t="shared" si="0"/>
        <v>7471140</v>
      </c>
    </row>
    <row r="33" spans="1:14" ht="18" x14ac:dyDescent="0.3">
      <c r="A33" s="34" t="s">
        <v>115</v>
      </c>
      <c r="B33" s="24">
        <v>0</v>
      </c>
      <c r="C33" s="24">
        <v>8985048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35">
        <f t="shared" si="0"/>
        <v>8985048</v>
      </c>
    </row>
    <row r="34" spans="1:14" ht="18" x14ac:dyDescent="0.3">
      <c r="A34" s="34" t="s">
        <v>118</v>
      </c>
      <c r="B34" s="24">
        <v>0</v>
      </c>
      <c r="C34" s="24">
        <v>8982272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35">
        <f t="shared" si="0"/>
        <v>8982272</v>
      </c>
    </row>
    <row r="35" spans="1:14" ht="18" x14ac:dyDescent="0.3">
      <c r="A35" s="34" t="s">
        <v>120</v>
      </c>
      <c r="B35" s="24">
        <v>0</v>
      </c>
      <c r="C35" s="24">
        <v>17663556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35">
        <f t="shared" si="0"/>
        <v>17663556</v>
      </c>
    </row>
    <row r="36" spans="1:14" ht="18" x14ac:dyDescent="0.3">
      <c r="A36" s="34" t="s">
        <v>122</v>
      </c>
      <c r="B36" s="24">
        <v>0</v>
      </c>
      <c r="C36" s="24">
        <v>6410384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35">
        <f t="shared" si="0"/>
        <v>6410384</v>
      </c>
    </row>
    <row r="37" spans="1:14" ht="18" x14ac:dyDescent="0.3">
      <c r="A37" s="34" t="s">
        <v>124</v>
      </c>
      <c r="B37" s="24">
        <v>0</v>
      </c>
      <c r="C37" s="24">
        <v>7239342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35">
        <f t="shared" si="0"/>
        <v>7239342</v>
      </c>
    </row>
    <row r="38" spans="1:14" ht="18" x14ac:dyDescent="0.3">
      <c r="A38" s="34" t="s">
        <v>125</v>
      </c>
      <c r="B38" s="24">
        <v>0</v>
      </c>
      <c r="C38" s="24">
        <v>15453612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35">
        <f t="shared" si="0"/>
        <v>15453612</v>
      </c>
    </row>
    <row r="39" spans="1:14" ht="18" x14ac:dyDescent="0.3">
      <c r="A39" s="34" t="s">
        <v>126</v>
      </c>
      <c r="B39" s="24">
        <v>0</v>
      </c>
      <c r="C39" s="24">
        <v>8453182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35">
        <f t="shared" si="0"/>
        <v>8453182</v>
      </c>
    </row>
    <row r="40" spans="1:14" ht="18" x14ac:dyDescent="0.3">
      <c r="A40" s="34" t="s">
        <v>127</v>
      </c>
      <c r="B40" s="24">
        <v>0</v>
      </c>
      <c r="C40" s="24">
        <v>10546430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35">
        <f t="shared" si="0"/>
        <v>10546430</v>
      </c>
    </row>
    <row r="41" spans="1:14" ht="18" x14ac:dyDescent="0.3">
      <c r="A41" s="34" t="s">
        <v>128</v>
      </c>
      <c r="B41" s="24">
        <v>0</v>
      </c>
      <c r="C41" s="24">
        <v>8263698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35">
        <f t="shared" si="0"/>
        <v>8263698</v>
      </c>
    </row>
    <row r="42" spans="1:14" ht="18" x14ac:dyDescent="0.3">
      <c r="A42" s="34" t="s">
        <v>129</v>
      </c>
      <c r="B42" s="24">
        <v>0</v>
      </c>
      <c r="C42" s="24">
        <v>3985704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35">
        <f t="shared" si="0"/>
        <v>3985704</v>
      </c>
    </row>
    <row r="43" spans="1:14" ht="18" x14ac:dyDescent="0.3">
      <c r="A43" s="34" t="s">
        <v>130</v>
      </c>
      <c r="B43" s="24">
        <v>0</v>
      </c>
      <c r="C43" s="24">
        <v>11639490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35">
        <f t="shared" si="0"/>
        <v>11639490</v>
      </c>
    </row>
    <row r="44" spans="1:14" ht="18" x14ac:dyDescent="0.3">
      <c r="A44" s="34" t="s">
        <v>131</v>
      </c>
      <c r="B44" s="24">
        <v>0</v>
      </c>
      <c r="C44" s="24">
        <v>12527874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35">
        <f t="shared" si="0"/>
        <v>12527874</v>
      </c>
    </row>
    <row r="45" spans="1:14" ht="18" x14ac:dyDescent="0.3">
      <c r="A45" s="34" t="s">
        <v>132</v>
      </c>
      <c r="B45" s="24">
        <v>0</v>
      </c>
      <c r="C45" s="24">
        <v>2379048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35">
        <f t="shared" si="0"/>
        <v>2379048</v>
      </c>
    </row>
    <row r="46" spans="1:14" ht="18" x14ac:dyDescent="0.3">
      <c r="A46" s="34" t="s">
        <v>134</v>
      </c>
      <c r="B46" s="24">
        <v>0</v>
      </c>
      <c r="C46" s="24">
        <v>11852704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35">
        <f t="shared" si="0"/>
        <v>11852704</v>
      </c>
    </row>
    <row r="47" spans="1:14" ht="18" x14ac:dyDescent="0.3">
      <c r="A47" s="34" t="s">
        <v>135</v>
      </c>
      <c r="B47" s="24">
        <v>0</v>
      </c>
      <c r="C47" s="24">
        <v>9873864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35">
        <f t="shared" si="0"/>
        <v>9873864</v>
      </c>
    </row>
    <row r="48" spans="1:14" ht="18" x14ac:dyDescent="0.3">
      <c r="A48" s="34" t="s">
        <v>136</v>
      </c>
      <c r="B48" s="24">
        <v>0</v>
      </c>
      <c r="C48" s="24">
        <v>16824456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35">
        <f t="shared" si="0"/>
        <v>16824456</v>
      </c>
    </row>
    <row r="49" spans="1:14" ht="18" x14ac:dyDescent="0.3">
      <c r="A49" s="34" t="s">
        <v>137</v>
      </c>
      <c r="B49" s="24">
        <v>0</v>
      </c>
      <c r="C49" s="24">
        <v>10698712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35">
        <f t="shared" si="0"/>
        <v>10698712</v>
      </c>
    </row>
    <row r="50" spans="1:14" ht="18" x14ac:dyDescent="0.3">
      <c r="A50" s="34" t="s">
        <v>138</v>
      </c>
      <c r="B50" s="24">
        <v>0</v>
      </c>
      <c r="C50" s="24">
        <v>6845040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35">
        <f t="shared" si="0"/>
        <v>6845040</v>
      </c>
    </row>
    <row r="51" spans="1:14" ht="18" x14ac:dyDescent="0.3">
      <c r="A51" s="34" t="s">
        <v>139</v>
      </c>
      <c r="B51" s="24">
        <v>0</v>
      </c>
      <c r="C51" s="24">
        <v>13716304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35">
        <f t="shared" si="0"/>
        <v>13716304</v>
      </c>
    </row>
    <row r="52" spans="1:14" ht="18" x14ac:dyDescent="0.3">
      <c r="A52" s="34" t="s">
        <v>75</v>
      </c>
      <c r="B52" s="24">
        <v>0</v>
      </c>
      <c r="C52" s="24">
        <v>6012216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35">
        <f t="shared" si="0"/>
        <v>6012216</v>
      </c>
    </row>
    <row r="53" spans="1:14" ht="18" x14ac:dyDescent="0.3">
      <c r="A53" s="34" t="s">
        <v>77</v>
      </c>
      <c r="B53" s="24">
        <v>0</v>
      </c>
      <c r="C53" s="24">
        <v>8583003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35">
        <f t="shared" si="0"/>
        <v>8583003</v>
      </c>
    </row>
    <row r="54" spans="1:14" ht="18" x14ac:dyDescent="0.3">
      <c r="A54" s="34" t="s">
        <v>80</v>
      </c>
      <c r="B54" s="24">
        <v>0</v>
      </c>
      <c r="C54" s="24">
        <v>3716856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35">
        <f t="shared" si="0"/>
        <v>3716856</v>
      </c>
    </row>
    <row r="55" spans="1:14" ht="18" x14ac:dyDescent="0.3">
      <c r="A55" s="34" t="s">
        <v>82</v>
      </c>
      <c r="B55" s="24">
        <v>0</v>
      </c>
      <c r="C55" s="24">
        <v>1789515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35">
        <f t="shared" si="0"/>
        <v>1789515</v>
      </c>
    </row>
    <row r="56" spans="1:14" ht="18" x14ac:dyDescent="0.3">
      <c r="A56" s="34" t="s">
        <v>84</v>
      </c>
      <c r="B56" s="24">
        <v>0</v>
      </c>
      <c r="C56" s="24">
        <v>3469540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35">
        <f t="shared" si="0"/>
        <v>3469540</v>
      </c>
    </row>
    <row r="57" spans="1:14" ht="18" x14ac:dyDescent="0.3">
      <c r="A57" s="34" t="s">
        <v>86</v>
      </c>
      <c r="B57" s="24">
        <v>0</v>
      </c>
      <c r="C57" s="24">
        <v>1809280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35">
        <f t="shared" si="0"/>
        <v>1809280</v>
      </c>
    </row>
    <row r="58" spans="1:14" ht="18" x14ac:dyDescent="0.3">
      <c r="A58" s="34" t="s">
        <v>88</v>
      </c>
      <c r="B58" s="24">
        <v>0</v>
      </c>
      <c r="C58" s="24">
        <v>2869344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35">
        <f t="shared" si="0"/>
        <v>2869344</v>
      </c>
    </row>
    <row r="59" spans="1:14" ht="18" x14ac:dyDescent="0.3">
      <c r="A59" s="34" t="s">
        <v>91</v>
      </c>
      <c r="B59" s="24">
        <v>0</v>
      </c>
      <c r="C59" s="24">
        <v>1071696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35">
        <f t="shared" si="0"/>
        <v>1071696</v>
      </c>
    </row>
    <row r="60" spans="1:14" ht="18" x14ac:dyDescent="0.3">
      <c r="A60" s="34" t="s">
        <v>94</v>
      </c>
      <c r="B60" s="24">
        <v>0</v>
      </c>
      <c r="C60" s="24">
        <v>2180250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35">
        <f t="shared" si="0"/>
        <v>2180250</v>
      </c>
    </row>
    <row r="61" spans="1:14" ht="18" x14ac:dyDescent="0.3">
      <c r="A61" s="34" t="s">
        <v>96</v>
      </c>
      <c r="B61" s="24">
        <v>0</v>
      </c>
      <c r="C61" s="24">
        <v>1638288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35">
        <f t="shared" si="0"/>
        <v>1638288</v>
      </c>
    </row>
    <row r="62" spans="1:14" ht="18" x14ac:dyDescent="0.3">
      <c r="A62" s="34" t="s">
        <v>99</v>
      </c>
      <c r="B62" s="24">
        <v>0</v>
      </c>
      <c r="C62" s="24">
        <v>1425416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35">
        <f t="shared" si="0"/>
        <v>1425416</v>
      </c>
    </row>
    <row r="63" spans="1:14" ht="18" x14ac:dyDescent="0.3">
      <c r="A63" s="34" t="s">
        <v>102</v>
      </c>
      <c r="B63" s="24">
        <v>0</v>
      </c>
      <c r="C63" s="24">
        <v>1815030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35">
        <f t="shared" si="0"/>
        <v>1815030</v>
      </c>
    </row>
    <row r="64" spans="1:14" ht="18" x14ac:dyDescent="0.3">
      <c r="A64" s="34" t="s">
        <v>106</v>
      </c>
      <c r="B64" s="24">
        <v>0</v>
      </c>
      <c r="C64" s="24">
        <v>6327892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35">
        <f t="shared" si="0"/>
        <v>6327892</v>
      </c>
    </row>
    <row r="65" spans="1:14" ht="18" x14ac:dyDescent="0.3">
      <c r="A65" s="34" t="s">
        <v>109</v>
      </c>
      <c r="B65" s="24">
        <v>0</v>
      </c>
      <c r="C65" s="24">
        <v>6102567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35">
        <f t="shared" si="0"/>
        <v>6102567</v>
      </c>
    </row>
    <row r="66" spans="1:14" ht="18" x14ac:dyDescent="0.3">
      <c r="A66" s="34" t="s">
        <v>112</v>
      </c>
      <c r="B66" s="24">
        <v>0</v>
      </c>
      <c r="C66" s="24">
        <v>2619594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35">
        <f t="shared" si="0"/>
        <v>2619594</v>
      </c>
    </row>
    <row r="67" spans="1:14" ht="18" x14ac:dyDescent="0.3">
      <c r="A67" s="34" t="s">
        <v>153</v>
      </c>
      <c r="B67" s="24">
        <v>0</v>
      </c>
      <c r="C67" s="24">
        <v>7541264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35">
        <f t="shared" ref="N67:N130" si="1">SUM($B67:$L67)</f>
        <v>7541264</v>
      </c>
    </row>
    <row r="68" spans="1:14" ht="18" x14ac:dyDescent="0.3">
      <c r="A68" s="34" t="s">
        <v>154</v>
      </c>
      <c r="B68" s="24">
        <v>0</v>
      </c>
      <c r="C68" s="24">
        <v>3584988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35">
        <f t="shared" si="1"/>
        <v>3584988</v>
      </c>
    </row>
    <row r="69" spans="1:14" ht="18" x14ac:dyDescent="0.3">
      <c r="A69" s="34" t="s">
        <v>155</v>
      </c>
      <c r="B69" s="24">
        <v>0</v>
      </c>
      <c r="C69" s="24">
        <v>3786588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35">
        <f t="shared" si="1"/>
        <v>3786588</v>
      </c>
    </row>
    <row r="70" spans="1:14" ht="18" x14ac:dyDescent="0.3">
      <c r="A70" s="34" t="s">
        <v>156</v>
      </c>
      <c r="B70" s="24">
        <v>0</v>
      </c>
      <c r="C70" s="24">
        <v>3102610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35">
        <f t="shared" si="1"/>
        <v>3102610</v>
      </c>
    </row>
    <row r="71" spans="1:14" ht="18" x14ac:dyDescent="0.3">
      <c r="A71" s="34" t="s">
        <v>157</v>
      </c>
      <c r="B71" s="24">
        <v>0</v>
      </c>
      <c r="C71" s="24">
        <v>1091128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35">
        <f t="shared" si="1"/>
        <v>1091128</v>
      </c>
    </row>
    <row r="72" spans="1:14" ht="18" x14ac:dyDescent="0.3">
      <c r="A72" s="34" t="s">
        <v>160</v>
      </c>
      <c r="B72" s="24">
        <v>0</v>
      </c>
      <c r="C72" s="24">
        <v>3751820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35">
        <f t="shared" si="1"/>
        <v>3751820</v>
      </c>
    </row>
    <row r="73" spans="1:14" ht="18" x14ac:dyDescent="0.3">
      <c r="A73" s="34" t="s">
        <v>161</v>
      </c>
      <c r="B73" s="24">
        <v>0</v>
      </c>
      <c r="C73" s="24">
        <v>3882616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3882616</v>
      </c>
      <c r="K73" s="24">
        <v>0</v>
      </c>
      <c r="L73" s="24">
        <v>0</v>
      </c>
      <c r="M73" s="24">
        <v>0</v>
      </c>
      <c r="N73" s="35">
        <f t="shared" si="1"/>
        <v>7765232</v>
      </c>
    </row>
    <row r="74" spans="1:14" ht="18" x14ac:dyDescent="0.3">
      <c r="A74" s="34" t="s">
        <v>162</v>
      </c>
      <c r="B74" s="24">
        <v>0</v>
      </c>
      <c r="C74" s="24">
        <v>4207275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4207275</v>
      </c>
      <c r="K74" s="24">
        <v>0</v>
      </c>
      <c r="L74" s="24">
        <v>0</v>
      </c>
      <c r="M74" s="24">
        <v>0</v>
      </c>
      <c r="N74" s="35">
        <f t="shared" si="1"/>
        <v>8414550</v>
      </c>
    </row>
    <row r="75" spans="1:14" ht="18" x14ac:dyDescent="0.3">
      <c r="A75" s="34" t="s">
        <v>163</v>
      </c>
      <c r="B75" s="24">
        <v>0</v>
      </c>
      <c r="C75" s="24">
        <v>7123368</v>
      </c>
      <c r="D75" s="24">
        <v>0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7123368</v>
      </c>
      <c r="K75" s="24">
        <v>0</v>
      </c>
      <c r="L75" s="24">
        <v>0</v>
      </c>
      <c r="M75" s="24">
        <v>0</v>
      </c>
      <c r="N75" s="35">
        <f t="shared" si="1"/>
        <v>14246736</v>
      </c>
    </row>
    <row r="76" spans="1:14" ht="18" x14ac:dyDescent="0.3">
      <c r="A76" s="34" t="s">
        <v>164</v>
      </c>
      <c r="B76" s="24">
        <v>0</v>
      </c>
      <c r="C76" s="24">
        <v>3196629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3196629</v>
      </c>
      <c r="K76" s="24">
        <v>0</v>
      </c>
      <c r="L76" s="24">
        <v>0</v>
      </c>
      <c r="M76" s="24">
        <v>0</v>
      </c>
      <c r="N76" s="35">
        <f t="shared" si="1"/>
        <v>6393258</v>
      </c>
    </row>
    <row r="77" spans="1:14" ht="18" x14ac:dyDescent="0.3">
      <c r="A77" s="34" t="s">
        <v>165</v>
      </c>
      <c r="B77" s="24">
        <v>0</v>
      </c>
      <c r="C77" s="24">
        <v>2857995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2857995</v>
      </c>
      <c r="K77" s="24">
        <v>0</v>
      </c>
      <c r="L77" s="24">
        <v>0</v>
      </c>
      <c r="M77" s="24">
        <v>0</v>
      </c>
      <c r="N77" s="35">
        <f t="shared" si="1"/>
        <v>5715990</v>
      </c>
    </row>
    <row r="78" spans="1:14" ht="18" x14ac:dyDescent="0.3">
      <c r="A78" s="34" t="s">
        <v>166</v>
      </c>
      <c r="B78" s="24">
        <v>0</v>
      </c>
      <c r="C78" s="24">
        <v>1134440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1134440</v>
      </c>
      <c r="K78" s="24">
        <v>0</v>
      </c>
      <c r="L78" s="24">
        <v>0</v>
      </c>
      <c r="M78" s="24">
        <v>0</v>
      </c>
      <c r="N78" s="35">
        <f t="shared" si="1"/>
        <v>2268880</v>
      </c>
    </row>
    <row r="79" spans="1:14" ht="18" x14ac:dyDescent="0.3">
      <c r="A79" s="34" t="s">
        <v>167</v>
      </c>
      <c r="B79" s="24">
        <v>0</v>
      </c>
      <c r="C79" s="24">
        <v>3032953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3032953</v>
      </c>
      <c r="K79" s="24">
        <v>0</v>
      </c>
      <c r="L79" s="24">
        <v>0</v>
      </c>
      <c r="M79" s="24">
        <v>0</v>
      </c>
      <c r="N79" s="35">
        <f t="shared" si="1"/>
        <v>6065906</v>
      </c>
    </row>
    <row r="80" spans="1:14" ht="18" x14ac:dyDescent="0.3">
      <c r="A80" s="34" t="s">
        <v>168</v>
      </c>
      <c r="B80" s="24">
        <v>0</v>
      </c>
      <c r="C80" s="24">
        <v>2937540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2937540</v>
      </c>
      <c r="K80" s="24">
        <v>0</v>
      </c>
      <c r="L80" s="24">
        <v>0</v>
      </c>
      <c r="M80" s="24">
        <v>0</v>
      </c>
      <c r="N80" s="35">
        <f t="shared" si="1"/>
        <v>5875080</v>
      </c>
    </row>
    <row r="81" spans="1:14" ht="18" x14ac:dyDescent="0.3">
      <c r="A81" s="34" t="s">
        <v>169</v>
      </c>
      <c r="B81" s="24">
        <v>0</v>
      </c>
      <c r="C81" s="24">
        <v>4839324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4839324</v>
      </c>
      <c r="K81" s="24">
        <v>0</v>
      </c>
      <c r="L81" s="24">
        <v>0</v>
      </c>
      <c r="M81" s="24">
        <v>0</v>
      </c>
      <c r="N81" s="35">
        <f t="shared" si="1"/>
        <v>9678648</v>
      </c>
    </row>
    <row r="82" spans="1:14" ht="18" x14ac:dyDescent="0.3">
      <c r="A82" s="34" t="s">
        <v>170</v>
      </c>
      <c r="B82" s="24">
        <v>0</v>
      </c>
      <c r="C82" s="24">
        <v>0</v>
      </c>
      <c r="D82" s="24">
        <v>1404660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1404660</v>
      </c>
      <c r="K82" s="24">
        <v>0</v>
      </c>
      <c r="L82" s="24">
        <v>0</v>
      </c>
      <c r="M82" s="24">
        <v>0</v>
      </c>
      <c r="N82" s="35">
        <f t="shared" si="1"/>
        <v>2809320</v>
      </c>
    </row>
    <row r="83" spans="1:14" ht="18" x14ac:dyDescent="0.3">
      <c r="A83" s="34" t="s">
        <v>171</v>
      </c>
      <c r="B83" s="24">
        <v>0</v>
      </c>
      <c r="C83" s="24">
        <v>0</v>
      </c>
      <c r="D83" s="24">
        <v>5215104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5215104</v>
      </c>
      <c r="K83" s="24">
        <v>0</v>
      </c>
      <c r="L83" s="24">
        <v>0</v>
      </c>
      <c r="M83" s="24">
        <v>0</v>
      </c>
      <c r="N83" s="35">
        <f t="shared" si="1"/>
        <v>10430208</v>
      </c>
    </row>
    <row r="84" spans="1:14" ht="18" x14ac:dyDescent="0.3">
      <c r="A84" s="34" t="s">
        <v>172</v>
      </c>
      <c r="B84" s="24">
        <v>0</v>
      </c>
      <c r="C84" s="24">
        <v>0</v>
      </c>
      <c r="D84" s="24">
        <v>5941091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5941091</v>
      </c>
      <c r="K84" s="24">
        <v>0</v>
      </c>
      <c r="L84" s="24">
        <v>0</v>
      </c>
      <c r="M84" s="24">
        <v>0</v>
      </c>
      <c r="N84" s="35">
        <f t="shared" si="1"/>
        <v>11882182</v>
      </c>
    </row>
    <row r="85" spans="1:14" ht="18" x14ac:dyDescent="0.3">
      <c r="A85" s="34" t="s">
        <v>173</v>
      </c>
      <c r="B85" s="24">
        <v>0</v>
      </c>
      <c r="C85" s="24">
        <v>0</v>
      </c>
      <c r="D85" s="24">
        <v>1377948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1377948</v>
      </c>
      <c r="K85" s="24">
        <v>0</v>
      </c>
      <c r="L85" s="24">
        <v>0</v>
      </c>
      <c r="M85" s="24">
        <v>0</v>
      </c>
      <c r="N85" s="35">
        <f t="shared" si="1"/>
        <v>2755896</v>
      </c>
    </row>
    <row r="86" spans="1:14" ht="18" x14ac:dyDescent="0.3">
      <c r="A86" s="34" t="s">
        <v>174</v>
      </c>
      <c r="B86" s="24">
        <v>0</v>
      </c>
      <c r="C86" s="24">
        <v>0</v>
      </c>
      <c r="D86" s="24">
        <v>5832320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5832320</v>
      </c>
      <c r="K86" s="24">
        <v>0</v>
      </c>
      <c r="L86" s="24">
        <v>0</v>
      </c>
      <c r="M86" s="24">
        <v>0</v>
      </c>
      <c r="N86" s="35">
        <f t="shared" si="1"/>
        <v>11664640</v>
      </c>
    </row>
    <row r="87" spans="1:14" ht="18" x14ac:dyDescent="0.3">
      <c r="A87" s="34" t="s">
        <v>175</v>
      </c>
      <c r="B87" s="24">
        <v>0</v>
      </c>
      <c r="C87" s="24">
        <v>0</v>
      </c>
      <c r="D87" s="24">
        <v>6943300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6943300</v>
      </c>
      <c r="K87" s="24">
        <v>0</v>
      </c>
      <c r="L87" s="24">
        <v>0</v>
      </c>
      <c r="M87" s="24">
        <v>0</v>
      </c>
      <c r="N87" s="35">
        <f t="shared" si="1"/>
        <v>13886600</v>
      </c>
    </row>
    <row r="88" spans="1:14" ht="18" x14ac:dyDescent="0.3">
      <c r="A88" s="34" t="s">
        <v>176</v>
      </c>
      <c r="B88" s="24">
        <v>0</v>
      </c>
      <c r="C88" s="24">
        <v>0</v>
      </c>
      <c r="D88" s="24">
        <v>6392812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6392812</v>
      </c>
      <c r="K88" s="24">
        <v>0</v>
      </c>
      <c r="L88" s="24">
        <v>0</v>
      </c>
      <c r="M88" s="24">
        <v>0</v>
      </c>
      <c r="N88" s="35">
        <f t="shared" si="1"/>
        <v>12785624</v>
      </c>
    </row>
    <row r="89" spans="1:14" ht="18" x14ac:dyDescent="0.3">
      <c r="A89" s="34" t="s">
        <v>177</v>
      </c>
      <c r="B89" s="24">
        <v>0</v>
      </c>
      <c r="C89" s="24">
        <v>0</v>
      </c>
      <c r="D89" s="24">
        <v>4524736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24">
        <v>4524736</v>
      </c>
      <c r="K89" s="24">
        <v>0</v>
      </c>
      <c r="L89" s="24">
        <v>0</v>
      </c>
      <c r="M89" s="24">
        <v>0</v>
      </c>
      <c r="N89" s="35">
        <f t="shared" si="1"/>
        <v>9049472</v>
      </c>
    </row>
    <row r="90" spans="1:14" ht="18" x14ac:dyDescent="0.3">
      <c r="A90" s="34" t="s">
        <v>179</v>
      </c>
      <c r="B90" s="24">
        <v>0</v>
      </c>
      <c r="C90" s="24">
        <v>0</v>
      </c>
      <c r="D90" s="24">
        <v>1866900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1866900</v>
      </c>
      <c r="K90" s="24">
        <v>0</v>
      </c>
      <c r="L90" s="24">
        <v>0</v>
      </c>
      <c r="M90" s="24">
        <v>0</v>
      </c>
      <c r="N90" s="35">
        <f t="shared" si="1"/>
        <v>3733800</v>
      </c>
    </row>
    <row r="91" spans="1:14" ht="18" x14ac:dyDescent="0.3">
      <c r="A91" s="34" t="s">
        <v>180</v>
      </c>
      <c r="B91" s="24">
        <v>0</v>
      </c>
      <c r="C91" s="24">
        <v>0</v>
      </c>
      <c r="D91" s="24">
        <v>6708205</v>
      </c>
      <c r="E91" s="24">
        <v>0</v>
      </c>
      <c r="F91" s="24">
        <v>0</v>
      </c>
      <c r="G91" s="24">
        <v>0</v>
      </c>
      <c r="H91" s="24">
        <v>0</v>
      </c>
      <c r="I91" s="24">
        <v>0</v>
      </c>
      <c r="J91" s="24">
        <v>6708205</v>
      </c>
      <c r="K91" s="24">
        <v>0</v>
      </c>
      <c r="L91" s="24">
        <v>0</v>
      </c>
      <c r="M91" s="24">
        <v>0</v>
      </c>
      <c r="N91" s="35">
        <f t="shared" si="1"/>
        <v>13416410</v>
      </c>
    </row>
    <row r="92" spans="1:14" ht="18" x14ac:dyDescent="0.3">
      <c r="A92" s="34" t="s">
        <v>181</v>
      </c>
      <c r="B92" s="24">
        <v>0</v>
      </c>
      <c r="C92" s="24">
        <v>0</v>
      </c>
      <c r="D92" s="24">
        <v>5217156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5217156</v>
      </c>
      <c r="K92" s="24">
        <v>0</v>
      </c>
      <c r="L92" s="24">
        <v>0</v>
      </c>
      <c r="M92" s="24">
        <v>0</v>
      </c>
      <c r="N92" s="35">
        <f t="shared" si="1"/>
        <v>10434312</v>
      </c>
    </row>
    <row r="93" spans="1:14" ht="18" x14ac:dyDescent="0.3">
      <c r="A93" s="34" t="s">
        <v>182</v>
      </c>
      <c r="B93" s="24">
        <v>0</v>
      </c>
      <c r="C93" s="24">
        <v>0</v>
      </c>
      <c r="D93" s="24">
        <v>7126758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7126758</v>
      </c>
      <c r="K93" s="24">
        <v>0</v>
      </c>
      <c r="L93" s="24">
        <v>0</v>
      </c>
      <c r="M93" s="24">
        <v>0</v>
      </c>
      <c r="N93" s="35">
        <f t="shared" si="1"/>
        <v>14253516</v>
      </c>
    </row>
    <row r="94" spans="1:14" ht="18" x14ac:dyDescent="0.3">
      <c r="A94" s="34" t="s">
        <v>183</v>
      </c>
      <c r="B94" s="24">
        <v>0</v>
      </c>
      <c r="C94" s="24">
        <v>0</v>
      </c>
      <c r="D94" s="24">
        <v>1356885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1356885</v>
      </c>
      <c r="K94" s="24">
        <v>0</v>
      </c>
      <c r="L94" s="24">
        <v>0</v>
      </c>
      <c r="M94" s="24">
        <v>0</v>
      </c>
      <c r="N94" s="35">
        <f t="shared" si="1"/>
        <v>2713770</v>
      </c>
    </row>
    <row r="95" spans="1:14" ht="18" x14ac:dyDescent="0.3">
      <c r="A95" s="34" t="s">
        <v>184</v>
      </c>
      <c r="B95" s="24">
        <v>0</v>
      </c>
      <c r="C95" s="24">
        <v>0</v>
      </c>
      <c r="D95" s="24">
        <v>3370182</v>
      </c>
      <c r="E95" s="24">
        <v>0</v>
      </c>
      <c r="F95" s="24">
        <v>0</v>
      </c>
      <c r="G95" s="24">
        <v>0</v>
      </c>
      <c r="H95" s="24">
        <v>0</v>
      </c>
      <c r="I95" s="24">
        <v>0</v>
      </c>
      <c r="J95" s="24">
        <v>3370182</v>
      </c>
      <c r="K95" s="24">
        <v>0</v>
      </c>
      <c r="L95" s="24">
        <v>0</v>
      </c>
      <c r="M95" s="24">
        <v>0</v>
      </c>
      <c r="N95" s="35">
        <f t="shared" si="1"/>
        <v>6740364</v>
      </c>
    </row>
    <row r="96" spans="1:14" ht="18" x14ac:dyDescent="0.3">
      <c r="A96" s="34" t="s">
        <v>185</v>
      </c>
      <c r="B96" s="24">
        <v>0</v>
      </c>
      <c r="C96" s="24">
        <v>0</v>
      </c>
      <c r="D96" s="24">
        <v>2887570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2887570</v>
      </c>
      <c r="K96" s="24">
        <v>0</v>
      </c>
      <c r="L96" s="24">
        <v>0</v>
      </c>
      <c r="M96" s="24">
        <v>0</v>
      </c>
      <c r="N96" s="35">
        <f t="shared" si="1"/>
        <v>5775140</v>
      </c>
    </row>
    <row r="97" spans="1:14" ht="18" x14ac:dyDescent="0.3">
      <c r="A97" s="34" t="s">
        <v>186</v>
      </c>
      <c r="B97" s="24">
        <v>0</v>
      </c>
      <c r="C97" s="24">
        <v>0</v>
      </c>
      <c r="D97" s="24">
        <v>9033531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9033531</v>
      </c>
      <c r="K97" s="24">
        <v>0</v>
      </c>
      <c r="L97" s="24">
        <v>0</v>
      </c>
      <c r="M97" s="24">
        <v>0</v>
      </c>
      <c r="N97" s="35">
        <f t="shared" si="1"/>
        <v>18067062</v>
      </c>
    </row>
    <row r="98" spans="1:14" ht="18" x14ac:dyDescent="0.3">
      <c r="A98" s="34" t="s">
        <v>187</v>
      </c>
      <c r="B98" s="24">
        <v>0</v>
      </c>
      <c r="C98" s="24">
        <v>0</v>
      </c>
      <c r="D98" s="24">
        <v>6747895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6747895</v>
      </c>
      <c r="K98" s="24">
        <v>0</v>
      </c>
      <c r="L98" s="24">
        <v>0</v>
      </c>
      <c r="M98" s="24">
        <v>0</v>
      </c>
      <c r="N98" s="35">
        <f t="shared" si="1"/>
        <v>13495790</v>
      </c>
    </row>
    <row r="99" spans="1:14" ht="18" x14ac:dyDescent="0.3">
      <c r="A99" s="34" t="s">
        <v>188</v>
      </c>
      <c r="B99" s="24">
        <v>0</v>
      </c>
      <c r="C99" s="24">
        <v>0</v>
      </c>
      <c r="D99" s="24">
        <v>1528735</v>
      </c>
      <c r="E99" s="24">
        <v>0</v>
      </c>
      <c r="F99" s="24">
        <v>0</v>
      </c>
      <c r="G99" s="24">
        <v>0</v>
      </c>
      <c r="H99" s="24">
        <v>0</v>
      </c>
      <c r="I99" s="24">
        <v>0</v>
      </c>
      <c r="J99" s="24">
        <v>1528735</v>
      </c>
      <c r="K99" s="24">
        <v>0</v>
      </c>
      <c r="L99" s="24">
        <v>0</v>
      </c>
      <c r="M99" s="24">
        <v>0</v>
      </c>
      <c r="N99" s="35">
        <f t="shared" si="1"/>
        <v>3057470</v>
      </c>
    </row>
    <row r="100" spans="1:14" ht="18" x14ac:dyDescent="0.3">
      <c r="A100" s="34" t="s">
        <v>189</v>
      </c>
      <c r="B100" s="24">
        <v>0</v>
      </c>
      <c r="C100" s="24">
        <v>0</v>
      </c>
      <c r="D100" s="24">
        <v>5290153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5290153</v>
      </c>
      <c r="K100" s="24">
        <v>0</v>
      </c>
      <c r="L100" s="24">
        <v>0</v>
      </c>
      <c r="M100" s="24">
        <v>0</v>
      </c>
      <c r="N100" s="35">
        <f t="shared" si="1"/>
        <v>10580306</v>
      </c>
    </row>
    <row r="101" spans="1:14" ht="18" x14ac:dyDescent="0.3">
      <c r="A101" s="34" t="s">
        <v>190</v>
      </c>
      <c r="B101" s="24">
        <v>0</v>
      </c>
      <c r="C101" s="24">
        <v>0</v>
      </c>
      <c r="D101" s="24">
        <v>3304596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3304596</v>
      </c>
      <c r="K101" s="24">
        <v>0</v>
      </c>
      <c r="L101" s="24">
        <v>0</v>
      </c>
      <c r="M101" s="24">
        <v>0</v>
      </c>
      <c r="N101" s="35">
        <f t="shared" si="1"/>
        <v>6609192</v>
      </c>
    </row>
    <row r="102" spans="1:14" ht="18" x14ac:dyDescent="0.3">
      <c r="A102" s="34" t="s">
        <v>191</v>
      </c>
      <c r="B102" s="24">
        <v>0</v>
      </c>
      <c r="C102" s="24">
        <v>0</v>
      </c>
      <c r="D102" s="24">
        <v>2671306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2671306</v>
      </c>
      <c r="K102" s="24">
        <v>0</v>
      </c>
      <c r="L102" s="24">
        <v>0</v>
      </c>
      <c r="M102" s="24">
        <v>0</v>
      </c>
      <c r="N102" s="35">
        <f t="shared" si="1"/>
        <v>5342612</v>
      </c>
    </row>
    <row r="103" spans="1:14" ht="18" x14ac:dyDescent="0.3">
      <c r="A103" s="34" t="s">
        <v>192</v>
      </c>
      <c r="B103" s="24">
        <v>0</v>
      </c>
      <c r="C103" s="24">
        <v>0</v>
      </c>
      <c r="D103" s="24">
        <v>4275084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4275084</v>
      </c>
      <c r="K103" s="24">
        <v>0</v>
      </c>
      <c r="L103" s="24">
        <v>0</v>
      </c>
      <c r="M103" s="24">
        <v>0</v>
      </c>
      <c r="N103" s="35">
        <f t="shared" si="1"/>
        <v>8550168</v>
      </c>
    </row>
    <row r="104" spans="1:14" ht="18" x14ac:dyDescent="0.3">
      <c r="A104" s="34" t="s">
        <v>193</v>
      </c>
      <c r="B104" s="24">
        <v>0</v>
      </c>
      <c r="C104" s="24">
        <v>0</v>
      </c>
      <c r="D104" s="24">
        <v>4313937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4313937</v>
      </c>
      <c r="K104" s="24">
        <v>0</v>
      </c>
      <c r="L104" s="24">
        <v>0</v>
      </c>
      <c r="M104" s="24">
        <v>0</v>
      </c>
      <c r="N104" s="35">
        <f t="shared" si="1"/>
        <v>8627874</v>
      </c>
    </row>
    <row r="105" spans="1:14" ht="18" x14ac:dyDescent="0.3">
      <c r="A105" s="34" t="s">
        <v>194</v>
      </c>
      <c r="B105" s="24">
        <v>0</v>
      </c>
      <c r="C105" s="24">
        <v>0</v>
      </c>
      <c r="D105" s="24">
        <v>4796908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4796908</v>
      </c>
      <c r="K105" s="24">
        <v>0</v>
      </c>
      <c r="L105" s="24">
        <v>0</v>
      </c>
      <c r="M105" s="24">
        <v>0</v>
      </c>
      <c r="N105" s="35">
        <f t="shared" si="1"/>
        <v>9593816</v>
      </c>
    </row>
    <row r="106" spans="1:14" ht="18" x14ac:dyDescent="0.3">
      <c r="A106" s="34" t="s">
        <v>195</v>
      </c>
      <c r="B106" s="24">
        <v>0</v>
      </c>
      <c r="C106" s="24">
        <v>0</v>
      </c>
      <c r="D106" s="24">
        <v>6594820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6594820</v>
      </c>
      <c r="K106" s="24">
        <v>0</v>
      </c>
      <c r="L106" s="24">
        <v>0</v>
      </c>
      <c r="M106" s="24">
        <v>0</v>
      </c>
      <c r="N106" s="35">
        <f t="shared" si="1"/>
        <v>13189640</v>
      </c>
    </row>
    <row r="107" spans="1:14" ht="18" x14ac:dyDescent="0.3">
      <c r="A107" s="34" t="s">
        <v>196</v>
      </c>
      <c r="B107" s="24">
        <v>0</v>
      </c>
      <c r="C107" s="24">
        <v>0</v>
      </c>
      <c r="D107" s="24">
        <v>4437695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4437695</v>
      </c>
      <c r="L107" s="24">
        <v>0</v>
      </c>
      <c r="M107" s="24">
        <v>0</v>
      </c>
      <c r="N107" s="35">
        <f t="shared" si="1"/>
        <v>8875390</v>
      </c>
    </row>
    <row r="108" spans="1:14" ht="18" x14ac:dyDescent="0.3">
      <c r="A108" s="34" t="s">
        <v>197</v>
      </c>
      <c r="B108" s="24">
        <v>0</v>
      </c>
      <c r="C108" s="24">
        <v>0</v>
      </c>
      <c r="D108" s="24">
        <v>3293386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3293386</v>
      </c>
      <c r="L108" s="24">
        <v>0</v>
      </c>
      <c r="M108" s="24">
        <v>0</v>
      </c>
      <c r="N108" s="35">
        <f t="shared" si="1"/>
        <v>6586772</v>
      </c>
    </row>
    <row r="109" spans="1:14" ht="18" x14ac:dyDescent="0.3">
      <c r="A109" s="34" t="s">
        <v>198</v>
      </c>
      <c r="B109" s="24">
        <v>0</v>
      </c>
      <c r="C109" s="24">
        <v>0</v>
      </c>
      <c r="D109" s="24">
        <v>5324221</v>
      </c>
      <c r="E109" s="24">
        <v>0</v>
      </c>
      <c r="F109" s="24">
        <v>0</v>
      </c>
      <c r="G109" s="24">
        <v>0</v>
      </c>
      <c r="H109" s="24">
        <v>0</v>
      </c>
      <c r="I109" s="24">
        <v>0</v>
      </c>
      <c r="J109" s="24">
        <v>0</v>
      </c>
      <c r="K109" s="24">
        <v>5324221</v>
      </c>
      <c r="L109" s="24">
        <v>0</v>
      </c>
      <c r="M109" s="24">
        <v>0</v>
      </c>
      <c r="N109" s="35">
        <f t="shared" si="1"/>
        <v>10648442</v>
      </c>
    </row>
    <row r="110" spans="1:14" ht="18" x14ac:dyDescent="0.3">
      <c r="A110" s="34" t="s">
        <v>199</v>
      </c>
      <c r="B110" s="24">
        <v>0</v>
      </c>
      <c r="C110" s="24">
        <v>0</v>
      </c>
      <c r="D110" s="24">
        <v>3905250</v>
      </c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3905250</v>
      </c>
      <c r="L110" s="24">
        <v>0</v>
      </c>
      <c r="M110" s="24">
        <v>0</v>
      </c>
      <c r="N110" s="35">
        <f t="shared" si="1"/>
        <v>7810500</v>
      </c>
    </row>
    <row r="111" spans="1:14" ht="18" x14ac:dyDescent="0.3">
      <c r="A111" s="34" t="s">
        <v>200</v>
      </c>
      <c r="B111" s="24">
        <v>0</v>
      </c>
      <c r="C111" s="24">
        <v>0</v>
      </c>
      <c r="D111" s="24">
        <v>6192618</v>
      </c>
      <c r="E111" s="24">
        <v>0</v>
      </c>
      <c r="F111" s="24">
        <v>0</v>
      </c>
      <c r="G111" s="24">
        <v>0</v>
      </c>
      <c r="H111" s="24">
        <v>1240575</v>
      </c>
      <c r="I111" s="24">
        <v>0</v>
      </c>
      <c r="J111" s="24">
        <v>0</v>
      </c>
      <c r="K111" s="24">
        <v>6192618</v>
      </c>
      <c r="L111" s="24">
        <v>0</v>
      </c>
      <c r="M111" s="24">
        <v>0</v>
      </c>
      <c r="N111" s="35">
        <f t="shared" si="1"/>
        <v>13625811</v>
      </c>
    </row>
    <row r="112" spans="1:14" ht="18" x14ac:dyDescent="0.3">
      <c r="A112" s="34" t="s">
        <v>201</v>
      </c>
      <c r="B112" s="24">
        <v>0</v>
      </c>
      <c r="C112" s="24">
        <v>0</v>
      </c>
      <c r="D112" s="24">
        <v>5255244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5255244</v>
      </c>
      <c r="L112" s="24">
        <v>0</v>
      </c>
      <c r="M112" s="24">
        <v>0</v>
      </c>
      <c r="N112" s="35">
        <f t="shared" si="1"/>
        <v>10510488</v>
      </c>
    </row>
    <row r="113" spans="1:14" ht="18" x14ac:dyDescent="0.3">
      <c r="A113" s="34" t="s">
        <v>202</v>
      </c>
      <c r="B113" s="24">
        <v>0</v>
      </c>
      <c r="C113" s="24">
        <v>0</v>
      </c>
      <c r="D113" s="24">
        <v>6438095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6438095</v>
      </c>
      <c r="L113" s="24">
        <v>0</v>
      </c>
      <c r="M113" s="24">
        <v>0</v>
      </c>
      <c r="N113" s="35">
        <f t="shared" si="1"/>
        <v>12876190</v>
      </c>
    </row>
    <row r="114" spans="1:14" ht="18" x14ac:dyDescent="0.3">
      <c r="A114" s="34" t="s">
        <v>203</v>
      </c>
      <c r="B114" s="24">
        <v>0</v>
      </c>
      <c r="C114" s="24">
        <v>0</v>
      </c>
      <c r="D114" s="24">
        <v>2672000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35">
        <f t="shared" si="1"/>
        <v>2672000</v>
      </c>
    </row>
    <row r="115" spans="1:14" ht="18" x14ac:dyDescent="0.3">
      <c r="A115" s="34" t="s">
        <v>204</v>
      </c>
      <c r="B115" s="24">
        <v>0</v>
      </c>
      <c r="C115" s="24">
        <v>0</v>
      </c>
      <c r="D115" s="24">
        <v>6800576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35">
        <f t="shared" si="1"/>
        <v>6800576</v>
      </c>
    </row>
    <row r="116" spans="1:14" ht="18" x14ac:dyDescent="0.3">
      <c r="A116" s="34" t="s">
        <v>205</v>
      </c>
      <c r="B116" s="24">
        <v>0</v>
      </c>
      <c r="C116" s="24">
        <v>0</v>
      </c>
      <c r="D116" s="24">
        <v>3407724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35">
        <f t="shared" si="1"/>
        <v>3407724</v>
      </c>
    </row>
    <row r="117" spans="1:14" ht="18" x14ac:dyDescent="0.3">
      <c r="A117" s="34" t="s">
        <v>206</v>
      </c>
      <c r="B117" s="24">
        <v>0</v>
      </c>
      <c r="C117" s="24">
        <v>0</v>
      </c>
      <c r="D117" s="24">
        <v>1902560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35">
        <f t="shared" si="1"/>
        <v>1902560</v>
      </c>
    </row>
    <row r="118" spans="1:14" ht="18" x14ac:dyDescent="0.3">
      <c r="A118" s="34" t="s">
        <v>207</v>
      </c>
      <c r="B118" s="24">
        <v>0</v>
      </c>
      <c r="C118" s="24">
        <v>0</v>
      </c>
      <c r="D118" s="24">
        <v>4872609</v>
      </c>
      <c r="E118" s="24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35">
        <f t="shared" si="1"/>
        <v>4872609</v>
      </c>
    </row>
    <row r="119" spans="1:14" ht="18" x14ac:dyDescent="0.3">
      <c r="A119" s="34" t="s">
        <v>208</v>
      </c>
      <c r="B119" s="24">
        <v>0</v>
      </c>
      <c r="C119" s="24">
        <v>0</v>
      </c>
      <c r="D119" s="24">
        <v>0</v>
      </c>
      <c r="E119" s="24">
        <v>3540726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35">
        <f t="shared" si="1"/>
        <v>3540726</v>
      </c>
    </row>
    <row r="120" spans="1:14" ht="18" x14ac:dyDescent="0.3">
      <c r="A120" s="34" t="s">
        <v>209</v>
      </c>
      <c r="B120" s="24">
        <v>0</v>
      </c>
      <c r="C120" s="24">
        <v>0</v>
      </c>
      <c r="D120" s="24">
        <v>0</v>
      </c>
      <c r="E120" s="24">
        <v>6242976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35">
        <f t="shared" si="1"/>
        <v>6242976</v>
      </c>
    </row>
    <row r="121" spans="1:14" ht="18" x14ac:dyDescent="0.3">
      <c r="A121" s="34" t="s">
        <v>210</v>
      </c>
      <c r="B121" s="24">
        <v>0</v>
      </c>
      <c r="C121" s="24">
        <v>0</v>
      </c>
      <c r="D121" s="24">
        <v>0</v>
      </c>
      <c r="E121" s="24">
        <v>3946464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35">
        <f t="shared" si="1"/>
        <v>3946464</v>
      </c>
    </row>
    <row r="122" spans="1:14" ht="18" x14ac:dyDescent="0.3">
      <c r="A122" s="34" t="s">
        <v>211</v>
      </c>
      <c r="B122" s="24">
        <v>0</v>
      </c>
      <c r="C122" s="24">
        <v>0</v>
      </c>
      <c r="D122" s="24">
        <v>0</v>
      </c>
      <c r="E122" s="24">
        <v>4635288</v>
      </c>
      <c r="F122" s="24">
        <v>0</v>
      </c>
      <c r="G122" s="24">
        <v>0</v>
      </c>
      <c r="H122" s="24">
        <v>0</v>
      </c>
      <c r="I122" s="24">
        <v>0</v>
      </c>
      <c r="J122" s="24">
        <v>0</v>
      </c>
      <c r="K122" s="24">
        <v>0</v>
      </c>
      <c r="L122" s="24">
        <v>0</v>
      </c>
      <c r="M122" s="24">
        <v>0</v>
      </c>
      <c r="N122" s="35">
        <f t="shared" si="1"/>
        <v>4635288</v>
      </c>
    </row>
    <row r="123" spans="1:14" ht="18" x14ac:dyDescent="0.3">
      <c r="A123" s="34" t="s">
        <v>212</v>
      </c>
      <c r="B123" s="24">
        <v>0</v>
      </c>
      <c r="C123" s="24">
        <v>0</v>
      </c>
      <c r="D123" s="24">
        <v>0</v>
      </c>
      <c r="E123" s="24">
        <v>5225856</v>
      </c>
      <c r="F123" s="24">
        <v>0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4">
        <v>0</v>
      </c>
      <c r="M123" s="24">
        <v>0</v>
      </c>
      <c r="N123" s="35">
        <f t="shared" si="1"/>
        <v>5225856</v>
      </c>
    </row>
    <row r="124" spans="1:14" ht="18" x14ac:dyDescent="0.3">
      <c r="A124" s="34" t="s">
        <v>213</v>
      </c>
      <c r="B124" s="24">
        <v>0</v>
      </c>
      <c r="C124" s="24">
        <v>0</v>
      </c>
      <c r="D124" s="24">
        <v>0</v>
      </c>
      <c r="E124" s="24">
        <v>2377830</v>
      </c>
      <c r="F124" s="24">
        <v>0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4">
        <v>0</v>
      </c>
      <c r="M124" s="24">
        <v>0</v>
      </c>
      <c r="N124" s="35">
        <f t="shared" si="1"/>
        <v>2377830</v>
      </c>
    </row>
    <row r="125" spans="1:14" ht="18" x14ac:dyDescent="0.3">
      <c r="A125" s="34" t="s">
        <v>214</v>
      </c>
      <c r="B125" s="24">
        <v>0</v>
      </c>
      <c r="C125" s="24">
        <v>0</v>
      </c>
      <c r="D125" s="24">
        <v>0</v>
      </c>
      <c r="E125" s="24">
        <v>2446290</v>
      </c>
      <c r="F125" s="24">
        <v>0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35">
        <f t="shared" si="1"/>
        <v>2446290</v>
      </c>
    </row>
    <row r="126" spans="1:14" ht="18" x14ac:dyDescent="0.3">
      <c r="A126" s="34" t="s">
        <v>215</v>
      </c>
      <c r="B126" s="24">
        <v>0</v>
      </c>
      <c r="C126" s="24">
        <v>0</v>
      </c>
      <c r="D126" s="24">
        <v>0</v>
      </c>
      <c r="E126" s="24">
        <v>5795784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35">
        <f t="shared" si="1"/>
        <v>5795784</v>
      </c>
    </row>
    <row r="127" spans="1:14" ht="18" x14ac:dyDescent="0.3">
      <c r="A127" s="34" t="s">
        <v>216</v>
      </c>
      <c r="B127" s="24">
        <v>0</v>
      </c>
      <c r="C127" s="24">
        <v>0</v>
      </c>
      <c r="D127" s="24">
        <v>0</v>
      </c>
      <c r="E127" s="24">
        <v>2823285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35">
        <f t="shared" si="1"/>
        <v>2823285</v>
      </c>
    </row>
    <row r="128" spans="1:14" ht="18" x14ac:dyDescent="0.3">
      <c r="A128" s="34" t="s">
        <v>217</v>
      </c>
      <c r="B128" s="24">
        <v>0</v>
      </c>
      <c r="C128" s="24">
        <v>0</v>
      </c>
      <c r="D128" s="24">
        <v>0</v>
      </c>
      <c r="E128" s="24">
        <v>5477964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35">
        <f t="shared" si="1"/>
        <v>5477964</v>
      </c>
    </row>
    <row r="129" spans="1:14" ht="18" x14ac:dyDescent="0.3">
      <c r="A129" s="34" t="s">
        <v>218</v>
      </c>
      <c r="B129" s="24">
        <v>0</v>
      </c>
      <c r="C129" s="24">
        <v>0</v>
      </c>
      <c r="D129" s="24">
        <v>0</v>
      </c>
      <c r="E129" s="24">
        <v>3621286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35">
        <f t="shared" si="1"/>
        <v>3621286</v>
      </c>
    </row>
    <row r="130" spans="1:14" ht="18" x14ac:dyDescent="0.3">
      <c r="A130" s="34" t="s">
        <v>219</v>
      </c>
      <c r="B130" s="24">
        <v>0</v>
      </c>
      <c r="C130" s="24">
        <v>0</v>
      </c>
      <c r="D130" s="24">
        <v>0</v>
      </c>
      <c r="E130" s="24">
        <v>4704803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35">
        <f t="shared" si="1"/>
        <v>4704803</v>
      </c>
    </row>
    <row r="131" spans="1:14" ht="18" x14ac:dyDescent="0.3">
      <c r="A131" s="34" t="s">
        <v>220</v>
      </c>
      <c r="B131" s="24">
        <v>0</v>
      </c>
      <c r="C131" s="24">
        <v>0</v>
      </c>
      <c r="D131" s="24">
        <v>0</v>
      </c>
      <c r="E131" s="24">
        <v>1351636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35">
        <f t="shared" ref="N131:N194" si="2">SUM($B131:$L131)</f>
        <v>1351636</v>
      </c>
    </row>
    <row r="132" spans="1:14" ht="18" x14ac:dyDescent="0.3">
      <c r="A132" s="34" t="s">
        <v>221</v>
      </c>
      <c r="B132" s="24">
        <v>0</v>
      </c>
      <c r="C132" s="24">
        <v>0</v>
      </c>
      <c r="D132" s="24">
        <v>0</v>
      </c>
      <c r="E132" s="24">
        <v>1223827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35">
        <f t="shared" si="2"/>
        <v>1223827</v>
      </c>
    </row>
    <row r="133" spans="1:14" ht="18" x14ac:dyDescent="0.3">
      <c r="A133" s="34" t="s">
        <v>222</v>
      </c>
      <c r="B133" s="24">
        <v>0</v>
      </c>
      <c r="C133" s="24">
        <v>0</v>
      </c>
      <c r="D133" s="24">
        <v>0</v>
      </c>
      <c r="E133" s="24">
        <v>2751280</v>
      </c>
      <c r="F133" s="24">
        <v>0</v>
      </c>
      <c r="G133" s="24">
        <v>0</v>
      </c>
      <c r="H133" s="24">
        <v>0</v>
      </c>
      <c r="I133" s="24">
        <v>0</v>
      </c>
      <c r="J133" s="24">
        <v>0</v>
      </c>
      <c r="K133" s="24">
        <v>0</v>
      </c>
      <c r="L133" s="24">
        <v>0</v>
      </c>
      <c r="M133" s="24">
        <v>0</v>
      </c>
      <c r="N133" s="35">
        <f t="shared" si="2"/>
        <v>2751280</v>
      </c>
    </row>
    <row r="134" spans="1:14" ht="18" x14ac:dyDescent="0.3">
      <c r="A134" s="34" t="s">
        <v>223</v>
      </c>
      <c r="B134" s="24">
        <v>0</v>
      </c>
      <c r="C134" s="24">
        <v>0</v>
      </c>
      <c r="D134" s="24">
        <v>0</v>
      </c>
      <c r="E134" s="24">
        <v>1919885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35">
        <f t="shared" si="2"/>
        <v>1919885</v>
      </c>
    </row>
    <row r="135" spans="1:14" ht="18" x14ac:dyDescent="0.3">
      <c r="A135" s="34" t="s">
        <v>224</v>
      </c>
      <c r="B135" s="24">
        <v>0</v>
      </c>
      <c r="C135" s="24">
        <v>0</v>
      </c>
      <c r="D135" s="24">
        <v>0</v>
      </c>
      <c r="E135" s="24">
        <v>4274517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35">
        <f t="shared" si="2"/>
        <v>4274517</v>
      </c>
    </row>
    <row r="136" spans="1:14" ht="18" x14ac:dyDescent="0.3">
      <c r="A136" s="34" t="s">
        <v>225</v>
      </c>
      <c r="B136" s="24">
        <v>0</v>
      </c>
      <c r="C136" s="24">
        <v>0</v>
      </c>
      <c r="D136" s="24">
        <v>0</v>
      </c>
      <c r="E136" s="24">
        <v>4823073</v>
      </c>
      <c r="F136" s="24">
        <v>0</v>
      </c>
      <c r="G136" s="24">
        <v>0</v>
      </c>
      <c r="H136" s="24">
        <v>0</v>
      </c>
      <c r="I136" s="24">
        <v>0</v>
      </c>
      <c r="J136" s="24">
        <v>0</v>
      </c>
      <c r="K136" s="24">
        <v>0</v>
      </c>
      <c r="L136" s="24">
        <v>0</v>
      </c>
      <c r="M136" s="24">
        <v>0</v>
      </c>
      <c r="N136" s="35">
        <f t="shared" si="2"/>
        <v>4823073</v>
      </c>
    </row>
    <row r="137" spans="1:14" ht="18" x14ac:dyDescent="0.3">
      <c r="A137" s="34" t="s">
        <v>226</v>
      </c>
      <c r="B137" s="24">
        <v>0</v>
      </c>
      <c r="C137" s="24">
        <v>0</v>
      </c>
      <c r="D137" s="24">
        <v>0</v>
      </c>
      <c r="E137" s="24">
        <v>1996896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35">
        <f t="shared" si="2"/>
        <v>1996896</v>
      </c>
    </row>
    <row r="138" spans="1:14" ht="18" x14ac:dyDescent="0.3">
      <c r="A138" s="34" t="s">
        <v>227</v>
      </c>
      <c r="B138" s="24">
        <v>0</v>
      </c>
      <c r="C138" s="24">
        <v>0</v>
      </c>
      <c r="D138" s="24">
        <v>0</v>
      </c>
      <c r="E138" s="24">
        <v>1577225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35">
        <f t="shared" si="2"/>
        <v>1577225</v>
      </c>
    </row>
    <row r="139" spans="1:14" ht="18" x14ac:dyDescent="0.3">
      <c r="A139" s="34" t="s">
        <v>228</v>
      </c>
      <c r="B139" s="24">
        <v>0</v>
      </c>
      <c r="C139" s="24">
        <v>0</v>
      </c>
      <c r="D139" s="24">
        <v>0</v>
      </c>
      <c r="E139" s="24">
        <v>3908358</v>
      </c>
      <c r="F139" s="24">
        <v>0</v>
      </c>
      <c r="G139" s="24">
        <v>0</v>
      </c>
      <c r="H139" s="24">
        <v>0</v>
      </c>
      <c r="I139" s="24">
        <v>6978458</v>
      </c>
      <c r="J139" s="24">
        <v>0</v>
      </c>
      <c r="K139" s="24">
        <v>0</v>
      </c>
      <c r="L139" s="24">
        <v>0</v>
      </c>
      <c r="M139" s="24">
        <v>0</v>
      </c>
      <c r="N139" s="35">
        <f t="shared" si="2"/>
        <v>10886816</v>
      </c>
    </row>
    <row r="140" spans="1:14" ht="18" x14ac:dyDescent="0.3">
      <c r="A140" s="34" t="s">
        <v>229</v>
      </c>
      <c r="B140" s="24">
        <v>0</v>
      </c>
      <c r="C140" s="24">
        <v>0</v>
      </c>
      <c r="D140" s="24">
        <v>0</v>
      </c>
      <c r="E140" s="24">
        <v>4473592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0</v>
      </c>
      <c r="N140" s="35">
        <f t="shared" si="2"/>
        <v>4473592</v>
      </c>
    </row>
    <row r="141" spans="1:14" ht="18" x14ac:dyDescent="0.3">
      <c r="A141" s="34" t="s">
        <v>230</v>
      </c>
      <c r="B141" s="24">
        <v>0</v>
      </c>
      <c r="C141" s="24">
        <v>0</v>
      </c>
      <c r="D141" s="24">
        <v>0</v>
      </c>
      <c r="E141" s="24">
        <v>3223200</v>
      </c>
      <c r="F141" s="24">
        <v>0</v>
      </c>
      <c r="G141" s="24">
        <v>0</v>
      </c>
      <c r="H141" s="24">
        <v>0</v>
      </c>
      <c r="I141" s="24">
        <v>2066148</v>
      </c>
      <c r="J141" s="24">
        <v>0</v>
      </c>
      <c r="K141" s="24">
        <v>0</v>
      </c>
      <c r="L141" s="24">
        <v>0</v>
      </c>
      <c r="M141" s="24">
        <v>0</v>
      </c>
      <c r="N141" s="35">
        <f t="shared" si="2"/>
        <v>5289348</v>
      </c>
    </row>
    <row r="142" spans="1:14" ht="18" x14ac:dyDescent="0.3">
      <c r="A142" s="34" t="s">
        <v>231</v>
      </c>
      <c r="B142" s="24">
        <v>0</v>
      </c>
      <c r="C142" s="24">
        <v>0</v>
      </c>
      <c r="D142" s="24">
        <v>0</v>
      </c>
      <c r="E142" s="24">
        <v>1545668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35">
        <f t="shared" si="2"/>
        <v>1545668</v>
      </c>
    </row>
    <row r="143" spans="1:14" ht="18" x14ac:dyDescent="0.3">
      <c r="A143" s="34" t="s">
        <v>232</v>
      </c>
      <c r="B143" s="24">
        <v>0</v>
      </c>
      <c r="C143" s="24">
        <v>0</v>
      </c>
      <c r="D143" s="24">
        <v>0</v>
      </c>
      <c r="E143" s="24">
        <v>4638410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35">
        <f t="shared" si="2"/>
        <v>4638410</v>
      </c>
    </row>
    <row r="144" spans="1:14" ht="18" x14ac:dyDescent="0.3">
      <c r="A144" s="34" t="s">
        <v>233</v>
      </c>
      <c r="B144" s="24">
        <v>0</v>
      </c>
      <c r="C144" s="24">
        <v>0</v>
      </c>
      <c r="D144" s="24">
        <v>0</v>
      </c>
      <c r="E144" s="24">
        <v>4296810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35">
        <f t="shared" si="2"/>
        <v>4296810</v>
      </c>
    </row>
    <row r="145" spans="1:14" ht="18" x14ac:dyDescent="0.3">
      <c r="A145" s="34" t="s">
        <v>234</v>
      </c>
      <c r="B145" s="24">
        <v>0</v>
      </c>
      <c r="C145" s="24">
        <v>0</v>
      </c>
      <c r="D145" s="24">
        <v>0</v>
      </c>
      <c r="E145" s="24">
        <v>0</v>
      </c>
      <c r="F145" s="24">
        <v>4638348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0</v>
      </c>
      <c r="N145" s="35">
        <f t="shared" si="2"/>
        <v>4638348</v>
      </c>
    </row>
    <row r="146" spans="1:14" ht="18" x14ac:dyDescent="0.3">
      <c r="A146" s="34" t="s">
        <v>235</v>
      </c>
      <c r="B146" s="24">
        <v>0</v>
      </c>
      <c r="C146" s="24">
        <v>0</v>
      </c>
      <c r="D146" s="24">
        <v>0</v>
      </c>
      <c r="E146" s="24">
        <v>0</v>
      </c>
      <c r="F146" s="24">
        <v>8409246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35">
        <f t="shared" si="2"/>
        <v>8409246</v>
      </c>
    </row>
    <row r="147" spans="1:14" ht="18" x14ac:dyDescent="0.3">
      <c r="A147" s="34" t="s">
        <v>236</v>
      </c>
      <c r="B147" s="24">
        <v>0</v>
      </c>
      <c r="C147" s="24">
        <v>0</v>
      </c>
      <c r="D147" s="24">
        <v>0</v>
      </c>
      <c r="E147" s="24">
        <v>0</v>
      </c>
      <c r="F147" s="24">
        <v>3725384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35">
        <f t="shared" si="2"/>
        <v>3725384</v>
      </c>
    </row>
    <row r="148" spans="1:14" ht="18" x14ac:dyDescent="0.3">
      <c r="A148" s="34" t="s">
        <v>237</v>
      </c>
      <c r="B148" s="24">
        <v>0</v>
      </c>
      <c r="C148" s="24">
        <v>0</v>
      </c>
      <c r="D148" s="24">
        <v>0</v>
      </c>
      <c r="E148" s="24">
        <v>0</v>
      </c>
      <c r="F148" s="24">
        <v>6097110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35">
        <f t="shared" si="2"/>
        <v>6097110</v>
      </c>
    </row>
    <row r="149" spans="1:14" ht="18" x14ac:dyDescent="0.3">
      <c r="A149" s="34" t="s">
        <v>238</v>
      </c>
      <c r="B149" s="24">
        <v>0</v>
      </c>
      <c r="C149" s="24">
        <v>0</v>
      </c>
      <c r="D149" s="24">
        <v>0</v>
      </c>
      <c r="E149" s="24">
        <v>0</v>
      </c>
      <c r="F149" s="24">
        <v>2895288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35">
        <f t="shared" si="2"/>
        <v>2895288</v>
      </c>
    </row>
    <row r="150" spans="1:14" ht="18" x14ac:dyDescent="0.3">
      <c r="A150" s="34" t="s">
        <v>239</v>
      </c>
      <c r="B150" s="24">
        <v>0</v>
      </c>
      <c r="C150" s="24">
        <v>0</v>
      </c>
      <c r="D150" s="24">
        <v>0</v>
      </c>
      <c r="E150" s="24">
        <v>0</v>
      </c>
      <c r="F150" s="24">
        <v>8314173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35">
        <f t="shared" si="2"/>
        <v>8314173</v>
      </c>
    </row>
    <row r="151" spans="1:14" ht="18" x14ac:dyDescent="0.3">
      <c r="A151" s="34" t="s">
        <v>240</v>
      </c>
      <c r="B151" s="24">
        <v>0</v>
      </c>
      <c r="C151" s="24">
        <v>0</v>
      </c>
      <c r="D151" s="24">
        <v>0</v>
      </c>
      <c r="E151" s="24">
        <v>0</v>
      </c>
      <c r="F151" s="24">
        <v>3337236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35">
        <f t="shared" si="2"/>
        <v>3337236</v>
      </c>
    </row>
    <row r="152" spans="1:14" ht="18" x14ac:dyDescent="0.3">
      <c r="A152" s="34" t="s">
        <v>241</v>
      </c>
      <c r="B152" s="24">
        <v>0</v>
      </c>
      <c r="C152" s="24">
        <v>0</v>
      </c>
      <c r="D152" s="24">
        <v>0</v>
      </c>
      <c r="E152" s="24">
        <v>0</v>
      </c>
      <c r="F152" s="24">
        <v>6371979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35">
        <f t="shared" si="2"/>
        <v>6371979</v>
      </c>
    </row>
    <row r="153" spans="1:14" ht="18" x14ac:dyDescent="0.3">
      <c r="A153" s="34" t="s">
        <v>242</v>
      </c>
      <c r="B153" s="24">
        <v>0</v>
      </c>
      <c r="C153" s="24">
        <v>0</v>
      </c>
      <c r="D153" s="24">
        <v>0</v>
      </c>
      <c r="E153" s="24">
        <v>0</v>
      </c>
      <c r="F153" s="24">
        <v>2273587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35">
        <f t="shared" si="2"/>
        <v>2273587</v>
      </c>
    </row>
    <row r="154" spans="1:14" ht="18" x14ac:dyDescent="0.3">
      <c r="A154" s="34" t="s">
        <v>243</v>
      </c>
      <c r="B154" s="24">
        <v>0</v>
      </c>
      <c r="C154" s="24">
        <v>0</v>
      </c>
      <c r="D154" s="24">
        <v>0</v>
      </c>
      <c r="E154" s="24">
        <v>0</v>
      </c>
      <c r="F154" s="24">
        <v>4605916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4">
        <v>0</v>
      </c>
      <c r="N154" s="35">
        <f t="shared" si="2"/>
        <v>4605916</v>
      </c>
    </row>
    <row r="155" spans="1:14" ht="18" x14ac:dyDescent="0.3">
      <c r="A155" s="34" t="s">
        <v>244</v>
      </c>
      <c r="B155" s="24">
        <v>0</v>
      </c>
      <c r="C155" s="24">
        <v>0</v>
      </c>
      <c r="D155" s="24">
        <v>0</v>
      </c>
      <c r="E155" s="24">
        <v>0</v>
      </c>
      <c r="F155" s="24">
        <v>3544530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0</v>
      </c>
      <c r="N155" s="35">
        <f t="shared" si="2"/>
        <v>3544530</v>
      </c>
    </row>
    <row r="156" spans="1:14" ht="18" x14ac:dyDescent="0.3">
      <c r="A156" s="34" t="s">
        <v>245</v>
      </c>
      <c r="B156" s="24">
        <v>0</v>
      </c>
      <c r="C156" s="24">
        <v>0</v>
      </c>
      <c r="D156" s="24">
        <v>0</v>
      </c>
      <c r="E156" s="24">
        <v>0</v>
      </c>
      <c r="F156" s="24">
        <v>3912149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35">
        <f t="shared" si="2"/>
        <v>3912149</v>
      </c>
    </row>
    <row r="157" spans="1:14" ht="18" x14ac:dyDescent="0.3">
      <c r="A157" s="34" t="s">
        <v>246</v>
      </c>
      <c r="B157" s="24">
        <v>0</v>
      </c>
      <c r="C157" s="24">
        <v>0</v>
      </c>
      <c r="D157" s="24">
        <v>0</v>
      </c>
      <c r="E157" s="24">
        <v>0</v>
      </c>
      <c r="F157" s="24">
        <v>4390670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35">
        <f t="shared" si="2"/>
        <v>4390670</v>
      </c>
    </row>
    <row r="158" spans="1:14" ht="18" x14ac:dyDescent="0.3">
      <c r="A158" s="34" t="s">
        <v>247</v>
      </c>
      <c r="B158" s="24">
        <v>0</v>
      </c>
      <c r="C158" s="24">
        <v>0</v>
      </c>
      <c r="D158" s="24">
        <v>0</v>
      </c>
      <c r="E158" s="24">
        <v>0</v>
      </c>
      <c r="F158" s="24">
        <v>5331045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35">
        <f t="shared" si="2"/>
        <v>5331045</v>
      </c>
    </row>
    <row r="159" spans="1:14" ht="18" x14ac:dyDescent="0.3">
      <c r="A159" s="34" t="s">
        <v>248</v>
      </c>
      <c r="B159" s="24">
        <v>0</v>
      </c>
      <c r="C159" s="24">
        <v>0</v>
      </c>
      <c r="D159" s="24">
        <v>0</v>
      </c>
      <c r="E159" s="24">
        <v>0</v>
      </c>
      <c r="F159" s="24">
        <v>7530354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35">
        <f t="shared" si="2"/>
        <v>7530354</v>
      </c>
    </row>
    <row r="160" spans="1:14" ht="18" x14ac:dyDescent="0.3">
      <c r="A160" s="34" t="s">
        <v>249</v>
      </c>
      <c r="B160" s="24">
        <v>0</v>
      </c>
      <c r="C160" s="24">
        <v>0</v>
      </c>
      <c r="D160" s="24">
        <v>0</v>
      </c>
      <c r="E160" s="24">
        <v>0</v>
      </c>
      <c r="F160" s="24">
        <v>1660988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35">
        <f t="shared" si="2"/>
        <v>1660988</v>
      </c>
    </row>
    <row r="161" spans="1:14" ht="18" x14ac:dyDescent="0.3">
      <c r="A161" s="34" t="s">
        <v>250</v>
      </c>
      <c r="B161" s="24">
        <v>0</v>
      </c>
      <c r="C161" s="24">
        <v>0</v>
      </c>
      <c r="D161" s="24">
        <v>0</v>
      </c>
      <c r="E161" s="24">
        <v>0</v>
      </c>
      <c r="F161" s="24">
        <v>7368936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35">
        <f t="shared" si="2"/>
        <v>7368936</v>
      </c>
    </row>
    <row r="162" spans="1:14" ht="18" x14ac:dyDescent="0.3">
      <c r="A162" s="34" t="s">
        <v>251</v>
      </c>
      <c r="B162" s="24">
        <v>0</v>
      </c>
      <c r="C162" s="24">
        <v>0</v>
      </c>
      <c r="D162" s="24">
        <v>0</v>
      </c>
      <c r="E162" s="24">
        <v>0</v>
      </c>
      <c r="F162" s="24">
        <v>7945010</v>
      </c>
      <c r="G162" s="24">
        <v>0</v>
      </c>
      <c r="H162" s="24">
        <v>0</v>
      </c>
      <c r="I162" s="24">
        <v>0</v>
      </c>
      <c r="J162" s="24">
        <v>0</v>
      </c>
      <c r="K162" s="24">
        <v>0</v>
      </c>
      <c r="L162" s="24">
        <v>0</v>
      </c>
      <c r="M162" s="24">
        <v>0</v>
      </c>
      <c r="N162" s="35">
        <f t="shared" si="2"/>
        <v>7945010</v>
      </c>
    </row>
    <row r="163" spans="1:14" ht="18" x14ac:dyDescent="0.3">
      <c r="A163" s="34" t="s">
        <v>252</v>
      </c>
      <c r="B163" s="24">
        <v>0</v>
      </c>
      <c r="C163" s="24">
        <v>0</v>
      </c>
      <c r="D163" s="24">
        <v>0</v>
      </c>
      <c r="E163" s="24">
        <v>0</v>
      </c>
      <c r="F163" s="24">
        <v>3867012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35">
        <f t="shared" si="2"/>
        <v>3867012</v>
      </c>
    </row>
    <row r="164" spans="1:14" ht="18" x14ac:dyDescent="0.3">
      <c r="A164" s="34" t="s">
        <v>253</v>
      </c>
      <c r="B164" s="24">
        <v>0</v>
      </c>
      <c r="C164" s="24">
        <v>0</v>
      </c>
      <c r="D164" s="24">
        <v>0</v>
      </c>
      <c r="E164" s="24">
        <v>0</v>
      </c>
      <c r="F164" s="24">
        <v>2810830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35">
        <f t="shared" si="2"/>
        <v>2810830</v>
      </c>
    </row>
    <row r="165" spans="1:14" ht="18" x14ac:dyDescent="0.3">
      <c r="A165" s="34" t="s">
        <v>254</v>
      </c>
      <c r="B165" s="24">
        <v>0</v>
      </c>
      <c r="C165" s="24">
        <v>0</v>
      </c>
      <c r="D165" s="24">
        <v>0</v>
      </c>
      <c r="E165" s="24">
        <v>0</v>
      </c>
      <c r="F165" s="24">
        <v>6147545</v>
      </c>
      <c r="G165" s="24">
        <v>0</v>
      </c>
      <c r="H165" s="24">
        <v>0</v>
      </c>
      <c r="I165" s="24">
        <v>0</v>
      </c>
      <c r="J165" s="24">
        <v>0</v>
      </c>
      <c r="K165" s="24">
        <v>0</v>
      </c>
      <c r="L165" s="24">
        <v>0</v>
      </c>
      <c r="M165" s="24">
        <v>0</v>
      </c>
      <c r="N165" s="35">
        <f t="shared" si="2"/>
        <v>6147545</v>
      </c>
    </row>
    <row r="166" spans="1:14" ht="18" x14ac:dyDescent="0.3">
      <c r="A166" s="34" t="s">
        <v>255</v>
      </c>
      <c r="B166" s="24">
        <v>0</v>
      </c>
      <c r="C166" s="24">
        <v>0</v>
      </c>
      <c r="D166" s="24">
        <v>0</v>
      </c>
      <c r="E166" s="24">
        <v>0</v>
      </c>
      <c r="F166" s="24">
        <v>7446900</v>
      </c>
      <c r="G166" s="24">
        <v>0</v>
      </c>
      <c r="H166" s="24">
        <v>0</v>
      </c>
      <c r="I166" s="24">
        <v>0</v>
      </c>
      <c r="J166" s="24">
        <v>0</v>
      </c>
      <c r="K166" s="24">
        <v>0</v>
      </c>
      <c r="L166" s="24">
        <v>0</v>
      </c>
      <c r="M166" s="24">
        <v>0</v>
      </c>
      <c r="N166" s="35">
        <f t="shared" si="2"/>
        <v>7446900</v>
      </c>
    </row>
    <row r="167" spans="1:14" ht="18" x14ac:dyDescent="0.3">
      <c r="A167" s="34" t="s">
        <v>256</v>
      </c>
      <c r="B167" s="24">
        <v>0</v>
      </c>
      <c r="C167" s="24">
        <v>0</v>
      </c>
      <c r="D167" s="24">
        <v>0</v>
      </c>
      <c r="E167" s="24">
        <v>0</v>
      </c>
      <c r="F167" s="24">
        <v>5130000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35">
        <f t="shared" si="2"/>
        <v>5130000</v>
      </c>
    </row>
    <row r="168" spans="1:14" ht="18" x14ac:dyDescent="0.3">
      <c r="A168" s="34" t="s">
        <v>257</v>
      </c>
      <c r="B168" s="24">
        <v>0</v>
      </c>
      <c r="C168" s="24">
        <v>0</v>
      </c>
      <c r="D168" s="24">
        <v>0</v>
      </c>
      <c r="E168" s="24">
        <v>0</v>
      </c>
      <c r="F168" s="24">
        <v>1462880</v>
      </c>
      <c r="G168" s="24">
        <v>0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35">
        <f t="shared" si="2"/>
        <v>1462880</v>
      </c>
    </row>
    <row r="169" spans="1:14" ht="18" x14ac:dyDescent="0.3">
      <c r="A169" s="34" t="s">
        <v>258</v>
      </c>
      <c r="B169" s="24">
        <v>0</v>
      </c>
      <c r="C169" s="24">
        <v>0</v>
      </c>
      <c r="D169" s="24">
        <v>0</v>
      </c>
      <c r="E169" s="24">
        <v>0</v>
      </c>
      <c r="F169" s="24">
        <v>5250229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35">
        <f t="shared" si="2"/>
        <v>5250229</v>
      </c>
    </row>
    <row r="170" spans="1:14" ht="18" x14ac:dyDescent="0.3">
      <c r="A170" s="34" t="s">
        <v>259</v>
      </c>
      <c r="B170" s="24">
        <v>0</v>
      </c>
      <c r="C170" s="24">
        <v>0</v>
      </c>
      <c r="D170" s="24">
        <v>0</v>
      </c>
      <c r="E170" s="24">
        <v>0</v>
      </c>
      <c r="F170" s="24">
        <v>3667648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0</v>
      </c>
      <c r="N170" s="35">
        <f t="shared" si="2"/>
        <v>3667648</v>
      </c>
    </row>
    <row r="171" spans="1:14" ht="18" x14ac:dyDescent="0.3">
      <c r="A171" s="34" t="s">
        <v>260</v>
      </c>
      <c r="B171" s="24">
        <v>0</v>
      </c>
      <c r="C171" s="24">
        <v>0</v>
      </c>
      <c r="D171" s="24">
        <v>0</v>
      </c>
      <c r="E171" s="24">
        <v>0</v>
      </c>
      <c r="F171" s="24">
        <v>5275072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35">
        <f t="shared" si="2"/>
        <v>5275072</v>
      </c>
    </row>
    <row r="172" spans="1:14" ht="18" x14ac:dyDescent="0.3">
      <c r="A172" s="34" t="s">
        <v>261</v>
      </c>
      <c r="B172" s="24">
        <v>0</v>
      </c>
      <c r="C172" s="24">
        <v>0</v>
      </c>
      <c r="D172" s="24">
        <v>0</v>
      </c>
      <c r="E172" s="24">
        <v>0</v>
      </c>
      <c r="F172" s="24">
        <v>1704000</v>
      </c>
      <c r="G172" s="24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35">
        <f t="shared" si="2"/>
        <v>1704000</v>
      </c>
    </row>
    <row r="173" spans="1:14" ht="18" x14ac:dyDescent="0.3">
      <c r="A173" s="34" t="s">
        <v>262</v>
      </c>
      <c r="B173" s="24">
        <v>0</v>
      </c>
      <c r="C173" s="24">
        <v>0</v>
      </c>
      <c r="D173" s="24">
        <v>0</v>
      </c>
      <c r="E173" s="24">
        <v>0</v>
      </c>
      <c r="F173" s="24">
        <v>3566255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35">
        <f t="shared" si="2"/>
        <v>3566255</v>
      </c>
    </row>
    <row r="174" spans="1:14" ht="18" x14ac:dyDescent="0.3">
      <c r="A174" s="34" t="s">
        <v>263</v>
      </c>
      <c r="B174" s="24">
        <v>0</v>
      </c>
      <c r="C174" s="24">
        <v>0</v>
      </c>
      <c r="D174" s="24">
        <v>0</v>
      </c>
      <c r="E174" s="24">
        <v>0</v>
      </c>
      <c r="F174" s="24">
        <v>5784832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35">
        <f t="shared" si="2"/>
        <v>5784832</v>
      </c>
    </row>
    <row r="175" spans="1:14" ht="18" x14ac:dyDescent="0.3">
      <c r="A175" s="34" t="s">
        <v>264</v>
      </c>
      <c r="B175" s="24">
        <v>0</v>
      </c>
      <c r="C175" s="24">
        <v>0</v>
      </c>
      <c r="D175" s="24">
        <v>0</v>
      </c>
      <c r="E175" s="24">
        <v>0</v>
      </c>
      <c r="F175" s="24">
        <v>3961980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35">
        <f t="shared" si="2"/>
        <v>3961980</v>
      </c>
    </row>
    <row r="176" spans="1:14" ht="18" x14ac:dyDescent="0.3">
      <c r="A176" s="34" t="s">
        <v>265</v>
      </c>
      <c r="B176" s="24">
        <v>0</v>
      </c>
      <c r="C176" s="24">
        <v>0</v>
      </c>
      <c r="D176" s="24">
        <v>0</v>
      </c>
      <c r="E176" s="24">
        <v>0</v>
      </c>
      <c r="F176" s="24">
        <v>7618572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35">
        <f t="shared" si="2"/>
        <v>7618572</v>
      </c>
    </row>
    <row r="177" spans="1:14" ht="18" x14ac:dyDescent="0.3">
      <c r="A177" s="34" t="s">
        <v>266</v>
      </c>
      <c r="B177" s="24">
        <v>0</v>
      </c>
      <c r="C177" s="24">
        <v>0</v>
      </c>
      <c r="D177" s="24">
        <v>0</v>
      </c>
      <c r="E177" s="24">
        <v>0</v>
      </c>
      <c r="F177" s="24">
        <v>1449020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35">
        <f t="shared" si="2"/>
        <v>1449020</v>
      </c>
    </row>
    <row r="178" spans="1:14" ht="18" x14ac:dyDescent="0.3">
      <c r="A178" s="34" t="s">
        <v>267</v>
      </c>
      <c r="B178" s="24">
        <v>0</v>
      </c>
      <c r="C178" s="24">
        <v>0</v>
      </c>
      <c r="D178" s="24">
        <v>0</v>
      </c>
      <c r="E178" s="24">
        <v>0</v>
      </c>
      <c r="F178" s="24">
        <v>1082720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35">
        <f t="shared" si="2"/>
        <v>1082720</v>
      </c>
    </row>
    <row r="179" spans="1:14" ht="18" x14ac:dyDescent="0.3">
      <c r="A179" s="34" t="s">
        <v>268</v>
      </c>
      <c r="B179" s="24">
        <v>0</v>
      </c>
      <c r="C179" s="24">
        <v>0</v>
      </c>
      <c r="D179" s="24">
        <v>0</v>
      </c>
      <c r="E179" s="24">
        <v>0</v>
      </c>
      <c r="F179" s="24">
        <v>3690431</v>
      </c>
      <c r="G179" s="24">
        <v>0</v>
      </c>
      <c r="H179" s="24">
        <v>0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35">
        <f t="shared" si="2"/>
        <v>3690431</v>
      </c>
    </row>
    <row r="180" spans="1:14" ht="18" x14ac:dyDescent="0.3">
      <c r="A180" s="34" t="s">
        <v>269</v>
      </c>
      <c r="B180" s="24">
        <v>0</v>
      </c>
      <c r="C180" s="24">
        <v>0</v>
      </c>
      <c r="D180" s="24">
        <v>0</v>
      </c>
      <c r="E180" s="24">
        <v>0</v>
      </c>
      <c r="F180" s="24">
        <v>4109952</v>
      </c>
      <c r="G180" s="24">
        <v>0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35">
        <f t="shared" si="2"/>
        <v>4109952</v>
      </c>
    </row>
    <row r="181" spans="1:14" ht="18" x14ac:dyDescent="0.3">
      <c r="A181" s="34" t="s">
        <v>270</v>
      </c>
      <c r="B181" s="24">
        <v>0</v>
      </c>
      <c r="C181" s="24">
        <v>0</v>
      </c>
      <c r="D181" s="24">
        <v>0</v>
      </c>
      <c r="E181" s="24">
        <v>0</v>
      </c>
      <c r="F181" s="24">
        <v>5592580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0</v>
      </c>
      <c r="N181" s="35">
        <f t="shared" si="2"/>
        <v>5592580</v>
      </c>
    </row>
    <row r="182" spans="1:14" ht="18" x14ac:dyDescent="0.3">
      <c r="A182" s="34" t="s">
        <v>271</v>
      </c>
      <c r="B182" s="24">
        <v>0</v>
      </c>
      <c r="C182" s="24">
        <v>0</v>
      </c>
      <c r="D182" s="24">
        <v>0</v>
      </c>
      <c r="E182" s="24">
        <v>0</v>
      </c>
      <c r="F182" s="24">
        <v>5403480</v>
      </c>
      <c r="G182" s="24">
        <v>0</v>
      </c>
      <c r="H182" s="24">
        <v>0</v>
      </c>
      <c r="I182" s="24">
        <v>8358176</v>
      </c>
      <c r="J182" s="24">
        <v>0</v>
      </c>
      <c r="K182" s="24">
        <v>0</v>
      </c>
      <c r="L182" s="24">
        <v>0</v>
      </c>
      <c r="M182" s="24">
        <v>0</v>
      </c>
      <c r="N182" s="35">
        <f t="shared" si="2"/>
        <v>13761656</v>
      </c>
    </row>
    <row r="183" spans="1:14" ht="18" x14ac:dyDescent="0.3">
      <c r="A183" s="34" t="s">
        <v>272</v>
      </c>
      <c r="B183" s="24">
        <v>0</v>
      </c>
      <c r="C183" s="24">
        <v>0</v>
      </c>
      <c r="D183" s="24">
        <v>0</v>
      </c>
      <c r="E183" s="24">
        <v>0</v>
      </c>
      <c r="F183" s="24">
        <v>4768498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35">
        <f t="shared" si="2"/>
        <v>4768498</v>
      </c>
    </row>
    <row r="184" spans="1:14" ht="18" x14ac:dyDescent="0.3">
      <c r="A184" s="34" t="s">
        <v>273</v>
      </c>
      <c r="B184" s="24">
        <v>0</v>
      </c>
      <c r="C184" s="24">
        <v>0</v>
      </c>
      <c r="D184" s="24">
        <v>0</v>
      </c>
      <c r="E184" s="24">
        <v>0</v>
      </c>
      <c r="F184" s="24">
        <v>0</v>
      </c>
      <c r="G184" s="24">
        <v>3700883</v>
      </c>
      <c r="H184" s="24">
        <v>0</v>
      </c>
      <c r="I184" s="24">
        <v>0</v>
      </c>
      <c r="J184" s="24">
        <v>0</v>
      </c>
      <c r="K184" s="24">
        <v>0</v>
      </c>
      <c r="L184" s="24">
        <v>0</v>
      </c>
      <c r="M184" s="24">
        <v>0</v>
      </c>
      <c r="N184" s="35">
        <f t="shared" si="2"/>
        <v>3700883</v>
      </c>
    </row>
    <row r="185" spans="1:14" ht="18" x14ac:dyDescent="0.3">
      <c r="A185" s="34" t="s">
        <v>274</v>
      </c>
      <c r="B185" s="24">
        <v>0</v>
      </c>
      <c r="C185" s="24">
        <v>0</v>
      </c>
      <c r="D185" s="24">
        <v>0</v>
      </c>
      <c r="E185" s="24">
        <v>0</v>
      </c>
      <c r="F185" s="24">
        <v>0</v>
      </c>
      <c r="G185" s="24">
        <v>1658864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35">
        <f t="shared" si="2"/>
        <v>1658864</v>
      </c>
    </row>
    <row r="186" spans="1:14" ht="18" x14ac:dyDescent="0.3">
      <c r="A186" s="34" t="s">
        <v>275</v>
      </c>
      <c r="B186" s="24">
        <v>0</v>
      </c>
      <c r="C186" s="24">
        <v>0</v>
      </c>
      <c r="D186" s="24">
        <v>0</v>
      </c>
      <c r="E186" s="24">
        <v>0</v>
      </c>
      <c r="F186" s="24">
        <v>0</v>
      </c>
      <c r="G186" s="24">
        <v>4031760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35">
        <f t="shared" si="2"/>
        <v>4031760</v>
      </c>
    </row>
    <row r="187" spans="1:14" ht="18" x14ac:dyDescent="0.3">
      <c r="A187" s="34" t="s">
        <v>276</v>
      </c>
      <c r="B187" s="24">
        <v>0</v>
      </c>
      <c r="C187" s="24">
        <v>0</v>
      </c>
      <c r="D187" s="24">
        <v>0</v>
      </c>
      <c r="E187" s="24">
        <v>0</v>
      </c>
      <c r="F187" s="24">
        <v>0</v>
      </c>
      <c r="G187" s="24">
        <v>7658672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35">
        <f t="shared" si="2"/>
        <v>7658672</v>
      </c>
    </row>
    <row r="188" spans="1:14" ht="18" x14ac:dyDescent="0.3">
      <c r="A188" s="34" t="s">
        <v>277</v>
      </c>
      <c r="B188" s="24">
        <v>0</v>
      </c>
      <c r="C188" s="24">
        <v>0</v>
      </c>
      <c r="D188" s="24">
        <v>0</v>
      </c>
      <c r="E188" s="24">
        <v>0</v>
      </c>
      <c r="F188" s="24">
        <v>0</v>
      </c>
      <c r="G188" s="24">
        <v>2875698</v>
      </c>
      <c r="H188" s="24">
        <v>0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35">
        <f t="shared" si="2"/>
        <v>2875698</v>
      </c>
    </row>
    <row r="189" spans="1:14" ht="18" x14ac:dyDescent="0.3">
      <c r="A189" s="34" t="s">
        <v>278</v>
      </c>
      <c r="B189" s="24">
        <v>0</v>
      </c>
      <c r="C189" s="24">
        <v>0</v>
      </c>
      <c r="D189" s="24">
        <v>0</v>
      </c>
      <c r="E189" s="24">
        <v>0</v>
      </c>
      <c r="F189" s="24">
        <v>0</v>
      </c>
      <c r="G189" s="24">
        <v>7306494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35">
        <f t="shared" si="2"/>
        <v>7306494</v>
      </c>
    </row>
    <row r="190" spans="1:14" ht="18" x14ac:dyDescent="0.3">
      <c r="A190" s="34" t="s">
        <v>279</v>
      </c>
      <c r="B190" s="24">
        <v>0</v>
      </c>
      <c r="C190" s="24">
        <v>0</v>
      </c>
      <c r="D190" s="24">
        <v>0</v>
      </c>
      <c r="E190" s="24">
        <v>0</v>
      </c>
      <c r="F190" s="24">
        <v>0</v>
      </c>
      <c r="G190" s="24">
        <v>2153250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35">
        <f t="shared" si="2"/>
        <v>2153250</v>
      </c>
    </row>
    <row r="191" spans="1:14" ht="18" x14ac:dyDescent="0.3">
      <c r="A191" s="34" t="s">
        <v>280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1041243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0</v>
      </c>
      <c r="N191" s="35">
        <f t="shared" si="2"/>
        <v>1041243</v>
      </c>
    </row>
    <row r="192" spans="1:14" ht="18" x14ac:dyDescent="0.3">
      <c r="A192" s="34" t="s">
        <v>281</v>
      </c>
      <c r="B192" s="24">
        <v>0</v>
      </c>
      <c r="C192" s="24">
        <v>0</v>
      </c>
      <c r="D192" s="24">
        <v>0</v>
      </c>
      <c r="E192" s="24">
        <v>0</v>
      </c>
      <c r="F192" s="24">
        <v>0</v>
      </c>
      <c r="G192" s="24">
        <v>4023144</v>
      </c>
      <c r="H192" s="24">
        <v>0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35">
        <f t="shared" si="2"/>
        <v>4023144</v>
      </c>
    </row>
    <row r="193" spans="1:14" ht="18" x14ac:dyDescent="0.3">
      <c r="A193" s="34" t="s">
        <v>282</v>
      </c>
      <c r="B193" s="24">
        <v>0</v>
      </c>
      <c r="C193" s="24">
        <v>0</v>
      </c>
      <c r="D193" s="24">
        <v>0</v>
      </c>
      <c r="E193" s="24">
        <v>0</v>
      </c>
      <c r="F193" s="24">
        <v>0</v>
      </c>
      <c r="G193" s="24">
        <v>5943795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35">
        <f t="shared" si="2"/>
        <v>5943795</v>
      </c>
    </row>
    <row r="194" spans="1:14" ht="18" x14ac:dyDescent="0.3">
      <c r="A194" s="34" t="s">
        <v>283</v>
      </c>
      <c r="B194" s="24">
        <v>0</v>
      </c>
      <c r="C194" s="24">
        <v>0</v>
      </c>
      <c r="D194" s="24">
        <v>0</v>
      </c>
      <c r="E194" s="24">
        <v>0</v>
      </c>
      <c r="F194" s="24">
        <v>0</v>
      </c>
      <c r="G194" s="24">
        <v>2875190</v>
      </c>
      <c r="H194" s="24">
        <v>0</v>
      </c>
      <c r="I194" s="24">
        <v>0</v>
      </c>
      <c r="J194" s="24">
        <v>0</v>
      </c>
      <c r="K194" s="24">
        <v>0</v>
      </c>
      <c r="L194" s="24">
        <v>0</v>
      </c>
      <c r="M194" s="24">
        <v>0</v>
      </c>
      <c r="N194" s="35">
        <f t="shared" si="2"/>
        <v>2875190</v>
      </c>
    </row>
    <row r="195" spans="1:14" ht="18" x14ac:dyDescent="0.3">
      <c r="A195" s="34" t="s">
        <v>284</v>
      </c>
      <c r="B195" s="24">
        <v>0</v>
      </c>
      <c r="C195" s="24">
        <v>0</v>
      </c>
      <c r="D195" s="24">
        <v>0</v>
      </c>
      <c r="E195" s="24">
        <v>0</v>
      </c>
      <c r="F195" s="24">
        <v>0</v>
      </c>
      <c r="G195" s="24">
        <v>3206472</v>
      </c>
      <c r="H195" s="24">
        <v>0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35">
        <f t="shared" ref="N195:N258" si="3">SUM($B195:$L195)</f>
        <v>3206472</v>
      </c>
    </row>
    <row r="196" spans="1:14" ht="18" x14ac:dyDescent="0.3">
      <c r="A196" s="34" t="s">
        <v>285</v>
      </c>
      <c r="B196" s="24">
        <v>0</v>
      </c>
      <c r="C196" s="24">
        <v>0</v>
      </c>
      <c r="D196" s="24">
        <v>0</v>
      </c>
      <c r="E196" s="24">
        <v>0</v>
      </c>
      <c r="F196" s="24">
        <v>0</v>
      </c>
      <c r="G196" s="24">
        <v>2508280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35">
        <f t="shared" si="3"/>
        <v>2508280</v>
      </c>
    </row>
    <row r="197" spans="1:14" ht="18" x14ac:dyDescent="0.3">
      <c r="A197" s="34" t="s">
        <v>286</v>
      </c>
      <c r="B197" s="24">
        <v>0</v>
      </c>
      <c r="C197" s="24">
        <v>0</v>
      </c>
      <c r="D197" s="24">
        <v>0</v>
      </c>
      <c r="E197" s="24">
        <v>0</v>
      </c>
      <c r="F197" s="24">
        <v>0</v>
      </c>
      <c r="G197" s="24">
        <v>1558518</v>
      </c>
      <c r="H197" s="24">
        <v>0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35">
        <f t="shared" si="3"/>
        <v>1558518</v>
      </c>
    </row>
    <row r="198" spans="1:14" ht="18" x14ac:dyDescent="0.3">
      <c r="A198" s="34" t="s">
        <v>287</v>
      </c>
      <c r="B198" s="24">
        <v>0</v>
      </c>
      <c r="C198" s="24">
        <v>0</v>
      </c>
      <c r="D198" s="24">
        <v>0</v>
      </c>
      <c r="E198" s="24">
        <v>0</v>
      </c>
      <c r="F198" s="24">
        <v>0</v>
      </c>
      <c r="G198" s="24">
        <v>970722</v>
      </c>
      <c r="H198" s="24">
        <v>0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35">
        <f t="shared" si="3"/>
        <v>970722</v>
      </c>
    </row>
    <row r="199" spans="1:14" ht="18" x14ac:dyDescent="0.3">
      <c r="A199" s="34" t="s">
        <v>288</v>
      </c>
      <c r="B199" s="24">
        <v>0</v>
      </c>
      <c r="C199" s="24">
        <v>0</v>
      </c>
      <c r="D199" s="24">
        <v>0</v>
      </c>
      <c r="E199" s="24">
        <v>0</v>
      </c>
      <c r="F199" s="24">
        <v>0</v>
      </c>
      <c r="G199" s="24">
        <v>2739720</v>
      </c>
      <c r="H199" s="24">
        <v>0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35">
        <f t="shared" si="3"/>
        <v>2739720</v>
      </c>
    </row>
    <row r="200" spans="1:14" ht="18" x14ac:dyDescent="0.3">
      <c r="A200" s="34" t="s">
        <v>289</v>
      </c>
      <c r="B200" s="24">
        <v>0</v>
      </c>
      <c r="C200" s="24">
        <v>0</v>
      </c>
      <c r="D200" s="24">
        <v>0</v>
      </c>
      <c r="E200" s="24">
        <v>0</v>
      </c>
      <c r="F200" s="24">
        <v>0</v>
      </c>
      <c r="G200" s="24">
        <v>2385175</v>
      </c>
      <c r="H200" s="24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35">
        <f t="shared" si="3"/>
        <v>2385175</v>
      </c>
    </row>
    <row r="201" spans="1:14" ht="18" x14ac:dyDescent="0.3">
      <c r="A201" s="34" t="s">
        <v>290</v>
      </c>
      <c r="B201" s="24">
        <v>0</v>
      </c>
      <c r="C201" s="24">
        <v>0</v>
      </c>
      <c r="D201" s="24">
        <v>0</v>
      </c>
      <c r="E201" s="24">
        <v>0</v>
      </c>
      <c r="F201" s="24">
        <v>0</v>
      </c>
      <c r="G201" s="24">
        <v>3184340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35">
        <f t="shared" si="3"/>
        <v>3184340</v>
      </c>
    </row>
    <row r="202" spans="1:14" ht="18" x14ac:dyDescent="0.3">
      <c r="A202" s="34" t="s">
        <v>291</v>
      </c>
      <c r="B202" s="24">
        <v>0</v>
      </c>
      <c r="C202" s="24">
        <v>0</v>
      </c>
      <c r="D202" s="24">
        <v>0</v>
      </c>
      <c r="E202" s="24">
        <v>0</v>
      </c>
      <c r="F202" s="24">
        <v>0</v>
      </c>
      <c r="G202" s="24">
        <v>3035136</v>
      </c>
      <c r="H202" s="24">
        <v>0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35">
        <f t="shared" si="3"/>
        <v>3035136</v>
      </c>
    </row>
    <row r="203" spans="1:14" ht="18" x14ac:dyDescent="0.3">
      <c r="A203" s="34" t="s">
        <v>292</v>
      </c>
      <c r="B203" s="24">
        <v>0</v>
      </c>
      <c r="C203" s="24">
        <v>0</v>
      </c>
      <c r="D203" s="24">
        <v>0</v>
      </c>
      <c r="E203" s="24">
        <v>0</v>
      </c>
      <c r="F203" s="24">
        <v>0</v>
      </c>
      <c r="G203" s="24">
        <v>5413860</v>
      </c>
      <c r="H203" s="24">
        <v>0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35">
        <f t="shared" si="3"/>
        <v>5413860</v>
      </c>
    </row>
    <row r="204" spans="1:14" ht="18" x14ac:dyDescent="0.3">
      <c r="A204" s="34" t="s">
        <v>293</v>
      </c>
      <c r="B204" s="24">
        <v>0</v>
      </c>
      <c r="C204" s="24">
        <v>0</v>
      </c>
      <c r="D204" s="24">
        <v>0</v>
      </c>
      <c r="E204" s="24">
        <v>0</v>
      </c>
      <c r="F204" s="24">
        <v>0</v>
      </c>
      <c r="G204" s="24">
        <v>5897286</v>
      </c>
      <c r="H204" s="24">
        <v>0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35">
        <f t="shared" si="3"/>
        <v>5897286</v>
      </c>
    </row>
    <row r="205" spans="1:14" ht="18" x14ac:dyDescent="0.3">
      <c r="A205" s="34" t="s">
        <v>294</v>
      </c>
      <c r="B205" s="24">
        <v>0</v>
      </c>
      <c r="C205" s="24">
        <v>0</v>
      </c>
      <c r="D205" s="24">
        <v>0</v>
      </c>
      <c r="E205" s="24">
        <v>0</v>
      </c>
      <c r="F205" s="24">
        <v>0</v>
      </c>
      <c r="G205" s="24">
        <v>1607336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35">
        <f t="shared" si="3"/>
        <v>1607336</v>
      </c>
    </row>
    <row r="206" spans="1:14" ht="18" x14ac:dyDescent="0.3">
      <c r="A206" s="34" t="s">
        <v>295</v>
      </c>
      <c r="B206" s="24">
        <v>0</v>
      </c>
      <c r="C206" s="24">
        <v>0</v>
      </c>
      <c r="D206" s="24">
        <v>0</v>
      </c>
      <c r="E206" s="24">
        <v>0</v>
      </c>
      <c r="F206" s="24">
        <v>0</v>
      </c>
      <c r="G206" s="24">
        <v>7366833</v>
      </c>
      <c r="H206" s="24">
        <v>0</v>
      </c>
      <c r="I206" s="24">
        <v>0</v>
      </c>
      <c r="J206" s="24">
        <v>0</v>
      </c>
      <c r="K206" s="24">
        <v>0</v>
      </c>
      <c r="L206" s="24">
        <v>0</v>
      </c>
      <c r="M206" s="24">
        <v>0</v>
      </c>
      <c r="N206" s="35">
        <f t="shared" si="3"/>
        <v>7366833</v>
      </c>
    </row>
    <row r="207" spans="1:14" ht="18" x14ac:dyDescent="0.3">
      <c r="A207" s="34" t="s">
        <v>296</v>
      </c>
      <c r="B207" s="24">
        <v>0</v>
      </c>
      <c r="C207" s="24">
        <v>0</v>
      </c>
      <c r="D207" s="24">
        <v>0</v>
      </c>
      <c r="E207" s="24">
        <v>0</v>
      </c>
      <c r="F207" s="24">
        <v>0</v>
      </c>
      <c r="G207" s="24">
        <v>2103304</v>
      </c>
      <c r="H207" s="24">
        <v>0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35">
        <f t="shared" si="3"/>
        <v>2103304</v>
      </c>
    </row>
    <row r="208" spans="1:14" ht="18" x14ac:dyDescent="0.3">
      <c r="A208" s="34" t="s">
        <v>297</v>
      </c>
      <c r="B208" s="24">
        <v>0</v>
      </c>
      <c r="C208" s="24">
        <v>0</v>
      </c>
      <c r="D208" s="24">
        <v>0</v>
      </c>
      <c r="E208" s="24">
        <v>0</v>
      </c>
      <c r="F208" s="24">
        <v>0</v>
      </c>
      <c r="G208" s="24">
        <v>3097165</v>
      </c>
      <c r="H208" s="24">
        <v>0</v>
      </c>
      <c r="I208" s="24">
        <v>0</v>
      </c>
      <c r="J208" s="24">
        <v>0</v>
      </c>
      <c r="K208" s="24">
        <v>0</v>
      </c>
      <c r="L208" s="24">
        <v>0</v>
      </c>
      <c r="M208" s="24">
        <v>0</v>
      </c>
      <c r="N208" s="35">
        <f t="shared" si="3"/>
        <v>3097165</v>
      </c>
    </row>
    <row r="209" spans="1:14" ht="18" x14ac:dyDescent="0.3">
      <c r="A209" s="34" t="s">
        <v>298</v>
      </c>
      <c r="B209" s="24">
        <v>0</v>
      </c>
      <c r="C209" s="24">
        <v>0</v>
      </c>
      <c r="D209" s="24">
        <v>0</v>
      </c>
      <c r="E209" s="24">
        <v>0</v>
      </c>
      <c r="F209" s="24">
        <v>0</v>
      </c>
      <c r="G209" s="24">
        <v>5859720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35">
        <f t="shared" si="3"/>
        <v>5859720</v>
      </c>
    </row>
    <row r="210" spans="1:14" ht="18" x14ac:dyDescent="0.3">
      <c r="A210" s="34" t="s">
        <v>299</v>
      </c>
      <c r="B210" s="24">
        <v>0</v>
      </c>
      <c r="C210" s="24">
        <v>0</v>
      </c>
      <c r="D210" s="24">
        <v>0</v>
      </c>
      <c r="E210" s="24">
        <v>0</v>
      </c>
      <c r="F210" s="24">
        <v>0</v>
      </c>
      <c r="G210" s="24">
        <v>1988600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35">
        <f t="shared" si="3"/>
        <v>1988600</v>
      </c>
    </row>
    <row r="211" spans="1:14" ht="18" x14ac:dyDescent="0.3">
      <c r="A211" s="34" t="s">
        <v>300</v>
      </c>
      <c r="B211" s="24">
        <v>0</v>
      </c>
      <c r="C211" s="24">
        <v>0</v>
      </c>
      <c r="D211" s="24">
        <v>0</v>
      </c>
      <c r="E211" s="24">
        <v>0</v>
      </c>
      <c r="F211" s="24">
        <v>0</v>
      </c>
      <c r="G211" s="24">
        <v>4124160</v>
      </c>
      <c r="H211" s="24">
        <v>0</v>
      </c>
      <c r="I211" s="24">
        <v>0</v>
      </c>
      <c r="J211" s="24">
        <v>0</v>
      </c>
      <c r="K211" s="24">
        <v>0</v>
      </c>
      <c r="L211" s="24">
        <v>0</v>
      </c>
      <c r="M211" s="24">
        <v>0</v>
      </c>
      <c r="N211" s="35">
        <f t="shared" si="3"/>
        <v>4124160</v>
      </c>
    </row>
    <row r="212" spans="1:14" ht="18" x14ac:dyDescent="0.3">
      <c r="A212" s="34" t="s">
        <v>301</v>
      </c>
      <c r="B212" s="24">
        <v>0</v>
      </c>
      <c r="C212" s="24">
        <v>0</v>
      </c>
      <c r="D212" s="24">
        <v>0</v>
      </c>
      <c r="E212" s="24">
        <v>0</v>
      </c>
      <c r="F212" s="24">
        <v>0</v>
      </c>
      <c r="G212" s="24">
        <v>6667920</v>
      </c>
      <c r="H212" s="24">
        <v>0</v>
      </c>
      <c r="I212" s="24">
        <v>0</v>
      </c>
      <c r="J212" s="24">
        <v>0</v>
      </c>
      <c r="K212" s="24">
        <v>0</v>
      </c>
      <c r="L212" s="24">
        <v>0</v>
      </c>
      <c r="M212" s="24">
        <v>0</v>
      </c>
      <c r="N212" s="35">
        <f t="shared" si="3"/>
        <v>6667920</v>
      </c>
    </row>
    <row r="213" spans="1:14" ht="18" x14ac:dyDescent="0.3">
      <c r="A213" s="34" t="s">
        <v>302</v>
      </c>
      <c r="B213" s="24">
        <v>0</v>
      </c>
      <c r="C213" s="24">
        <v>0</v>
      </c>
      <c r="D213" s="24">
        <v>0</v>
      </c>
      <c r="E213" s="24">
        <v>0</v>
      </c>
      <c r="F213" s="24">
        <v>0</v>
      </c>
      <c r="G213" s="24">
        <v>3627663</v>
      </c>
      <c r="H213" s="24">
        <v>0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35">
        <f t="shared" si="3"/>
        <v>3627663</v>
      </c>
    </row>
    <row r="214" spans="1:14" ht="18" x14ac:dyDescent="0.3">
      <c r="A214" s="34" t="s">
        <v>303</v>
      </c>
      <c r="B214" s="24">
        <v>0</v>
      </c>
      <c r="C214" s="24">
        <v>0</v>
      </c>
      <c r="D214" s="24">
        <v>0</v>
      </c>
      <c r="E214" s="24">
        <v>0</v>
      </c>
      <c r="F214" s="24">
        <v>0</v>
      </c>
      <c r="G214" s="24">
        <v>4585152</v>
      </c>
      <c r="H214" s="24">
        <v>0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35">
        <f t="shared" si="3"/>
        <v>4585152</v>
      </c>
    </row>
    <row r="215" spans="1:14" ht="18" x14ac:dyDescent="0.3">
      <c r="A215" s="34" t="s">
        <v>304</v>
      </c>
      <c r="B215" s="24">
        <v>0</v>
      </c>
      <c r="C215" s="24">
        <v>0</v>
      </c>
      <c r="D215" s="24">
        <v>0</v>
      </c>
      <c r="E215" s="24">
        <v>0</v>
      </c>
      <c r="F215" s="24">
        <v>0</v>
      </c>
      <c r="G215" s="24">
        <v>6334720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35">
        <f t="shared" si="3"/>
        <v>6334720</v>
      </c>
    </row>
    <row r="216" spans="1:14" ht="18" x14ac:dyDescent="0.3">
      <c r="A216" s="34" t="s">
        <v>305</v>
      </c>
      <c r="B216" s="24">
        <v>0</v>
      </c>
      <c r="C216" s="24">
        <v>0</v>
      </c>
      <c r="D216" s="24">
        <v>0</v>
      </c>
      <c r="E216" s="24">
        <v>0</v>
      </c>
      <c r="F216" s="24">
        <v>0</v>
      </c>
      <c r="G216" s="24">
        <v>3899259</v>
      </c>
      <c r="H216" s="24">
        <v>0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35">
        <f t="shared" si="3"/>
        <v>3899259</v>
      </c>
    </row>
    <row r="217" spans="1:14" ht="18" x14ac:dyDescent="0.3">
      <c r="A217" s="34" t="s">
        <v>306</v>
      </c>
      <c r="B217" s="24">
        <v>0</v>
      </c>
      <c r="C217" s="24">
        <v>0</v>
      </c>
      <c r="D217" s="24">
        <v>0</v>
      </c>
      <c r="E217" s="24">
        <v>0</v>
      </c>
      <c r="F217" s="24">
        <v>0</v>
      </c>
      <c r="G217" s="24">
        <v>7769412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35">
        <f t="shared" si="3"/>
        <v>7769412</v>
      </c>
    </row>
    <row r="218" spans="1:14" ht="18" x14ac:dyDescent="0.3">
      <c r="A218" s="34" t="s">
        <v>307</v>
      </c>
      <c r="B218" s="24">
        <v>0</v>
      </c>
      <c r="C218" s="24">
        <v>0</v>
      </c>
      <c r="D218" s="24">
        <v>0</v>
      </c>
      <c r="E218" s="24">
        <v>0</v>
      </c>
      <c r="F218" s="24">
        <v>0</v>
      </c>
      <c r="G218" s="24">
        <v>0</v>
      </c>
      <c r="H218" s="24">
        <v>4107438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35">
        <f t="shared" si="3"/>
        <v>4107438</v>
      </c>
    </row>
    <row r="219" spans="1:14" ht="18" x14ac:dyDescent="0.3">
      <c r="A219" s="34" t="s">
        <v>308</v>
      </c>
      <c r="B219" s="24">
        <v>0</v>
      </c>
      <c r="C219" s="24">
        <v>0</v>
      </c>
      <c r="D219" s="24">
        <v>0</v>
      </c>
      <c r="E219" s="24">
        <v>0</v>
      </c>
      <c r="F219" s="24">
        <v>0</v>
      </c>
      <c r="G219" s="24">
        <v>0</v>
      </c>
      <c r="H219" s="24">
        <v>4485908</v>
      </c>
      <c r="I219" s="24">
        <v>0</v>
      </c>
      <c r="J219" s="24">
        <v>0</v>
      </c>
      <c r="K219" s="24">
        <v>0</v>
      </c>
      <c r="L219" s="24">
        <v>0</v>
      </c>
      <c r="M219" s="24">
        <v>0</v>
      </c>
      <c r="N219" s="35">
        <f t="shared" si="3"/>
        <v>4485908</v>
      </c>
    </row>
    <row r="220" spans="1:14" ht="18" x14ac:dyDescent="0.3">
      <c r="A220" s="34" t="s">
        <v>309</v>
      </c>
      <c r="B220" s="24">
        <v>0</v>
      </c>
      <c r="C220" s="24">
        <v>0</v>
      </c>
      <c r="D220" s="24">
        <v>0</v>
      </c>
      <c r="E220" s="24">
        <v>0</v>
      </c>
      <c r="F220" s="24">
        <v>0</v>
      </c>
      <c r="G220" s="24">
        <v>0</v>
      </c>
      <c r="H220" s="24">
        <v>1093743</v>
      </c>
      <c r="I220" s="24">
        <v>0</v>
      </c>
      <c r="J220" s="24">
        <v>0</v>
      </c>
      <c r="K220" s="24">
        <v>0</v>
      </c>
      <c r="L220" s="24">
        <v>0</v>
      </c>
      <c r="M220" s="24">
        <v>0</v>
      </c>
      <c r="N220" s="35">
        <f t="shared" si="3"/>
        <v>1093743</v>
      </c>
    </row>
    <row r="221" spans="1:14" ht="18" x14ac:dyDescent="0.3">
      <c r="A221" s="34" t="s">
        <v>310</v>
      </c>
      <c r="B221" s="24">
        <v>0</v>
      </c>
      <c r="C221" s="24">
        <v>0</v>
      </c>
      <c r="D221" s="24">
        <v>0</v>
      </c>
      <c r="E221" s="24">
        <v>0</v>
      </c>
      <c r="F221" s="24">
        <v>0</v>
      </c>
      <c r="G221" s="24">
        <v>0</v>
      </c>
      <c r="H221" s="24">
        <v>2642988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35">
        <f t="shared" si="3"/>
        <v>2642988</v>
      </c>
    </row>
    <row r="222" spans="1:14" ht="18" x14ac:dyDescent="0.3">
      <c r="A222" s="34" t="s">
        <v>311</v>
      </c>
      <c r="B222" s="24">
        <v>0</v>
      </c>
      <c r="C222" s="24">
        <v>0</v>
      </c>
      <c r="D222" s="24">
        <v>0</v>
      </c>
      <c r="E222" s="24">
        <v>0</v>
      </c>
      <c r="F222" s="24">
        <v>0</v>
      </c>
      <c r="G222" s="24">
        <v>0</v>
      </c>
      <c r="H222" s="24">
        <v>6040980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35">
        <f t="shared" si="3"/>
        <v>6040980</v>
      </c>
    </row>
    <row r="223" spans="1:14" ht="18" x14ac:dyDescent="0.3">
      <c r="A223" s="34" t="s">
        <v>312</v>
      </c>
      <c r="B223" s="24">
        <v>0</v>
      </c>
      <c r="C223" s="24">
        <v>0</v>
      </c>
      <c r="D223" s="24">
        <v>0</v>
      </c>
      <c r="E223" s="24">
        <v>0</v>
      </c>
      <c r="F223" s="24">
        <v>0</v>
      </c>
      <c r="G223" s="24">
        <v>0</v>
      </c>
      <c r="H223" s="24">
        <v>6855948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35">
        <f t="shared" si="3"/>
        <v>6855948</v>
      </c>
    </row>
    <row r="224" spans="1:14" ht="18" x14ac:dyDescent="0.3">
      <c r="A224" s="34" t="s">
        <v>313</v>
      </c>
      <c r="B224" s="24">
        <v>0</v>
      </c>
      <c r="C224" s="24">
        <v>0</v>
      </c>
      <c r="D224" s="24">
        <v>0</v>
      </c>
      <c r="E224" s="24">
        <v>0</v>
      </c>
      <c r="F224" s="24">
        <v>0</v>
      </c>
      <c r="G224" s="24">
        <v>0</v>
      </c>
      <c r="H224" s="24">
        <v>1243995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35">
        <f t="shared" si="3"/>
        <v>1243995</v>
      </c>
    </row>
    <row r="225" spans="1:14" ht="18" x14ac:dyDescent="0.3">
      <c r="A225" s="34" t="s">
        <v>314</v>
      </c>
      <c r="B225" s="24">
        <v>0</v>
      </c>
      <c r="C225" s="24">
        <v>0</v>
      </c>
      <c r="D225" s="24">
        <v>0</v>
      </c>
      <c r="E225" s="24">
        <v>0</v>
      </c>
      <c r="F225" s="24">
        <v>0</v>
      </c>
      <c r="G225" s="24">
        <v>0</v>
      </c>
      <c r="H225" s="24">
        <v>3282634</v>
      </c>
      <c r="I225" s="24">
        <v>0</v>
      </c>
      <c r="J225" s="24">
        <v>0</v>
      </c>
      <c r="K225" s="24">
        <v>0</v>
      </c>
      <c r="L225" s="24">
        <v>0</v>
      </c>
      <c r="M225" s="24">
        <v>0</v>
      </c>
      <c r="N225" s="35">
        <f t="shared" si="3"/>
        <v>3282634</v>
      </c>
    </row>
    <row r="226" spans="1:14" ht="18" x14ac:dyDescent="0.3">
      <c r="A226" s="34" t="s">
        <v>315</v>
      </c>
      <c r="B226" s="24">
        <v>0</v>
      </c>
      <c r="C226" s="24">
        <v>0</v>
      </c>
      <c r="D226" s="24">
        <v>0</v>
      </c>
      <c r="E226" s="24">
        <v>0</v>
      </c>
      <c r="F226" s="24">
        <v>0</v>
      </c>
      <c r="G226" s="24">
        <v>0</v>
      </c>
      <c r="H226" s="24">
        <v>1053920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35">
        <f t="shared" si="3"/>
        <v>1053920</v>
      </c>
    </row>
    <row r="227" spans="1:14" ht="18" x14ac:dyDescent="0.3">
      <c r="A227" s="34" t="s">
        <v>316</v>
      </c>
      <c r="B227" s="24">
        <v>0</v>
      </c>
      <c r="C227" s="24">
        <v>0</v>
      </c>
      <c r="D227" s="24">
        <v>0</v>
      </c>
      <c r="E227" s="24">
        <v>0</v>
      </c>
      <c r="F227" s="24">
        <v>0</v>
      </c>
      <c r="G227" s="24">
        <v>0</v>
      </c>
      <c r="H227" s="24">
        <v>2784796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35">
        <f t="shared" si="3"/>
        <v>2784796</v>
      </c>
    </row>
    <row r="228" spans="1:14" ht="18" x14ac:dyDescent="0.3">
      <c r="A228" s="34" t="s">
        <v>317</v>
      </c>
      <c r="B228" s="24">
        <v>0</v>
      </c>
      <c r="C228" s="24">
        <v>0</v>
      </c>
      <c r="D228" s="24">
        <v>0</v>
      </c>
      <c r="E228" s="24">
        <v>0</v>
      </c>
      <c r="F228" s="24">
        <v>0</v>
      </c>
      <c r="G228" s="24">
        <v>0</v>
      </c>
      <c r="H228" s="24">
        <v>2065005</v>
      </c>
      <c r="I228" s="24">
        <v>0</v>
      </c>
      <c r="J228" s="24">
        <v>0</v>
      </c>
      <c r="K228" s="24">
        <v>0</v>
      </c>
      <c r="L228" s="24">
        <v>0</v>
      </c>
      <c r="M228" s="24">
        <v>0</v>
      </c>
      <c r="N228" s="35">
        <f t="shared" si="3"/>
        <v>2065005</v>
      </c>
    </row>
    <row r="229" spans="1:14" ht="18" x14ac:dyDescent="0.3">
      <c r="A229" s="34" t="s">
        <v>318</v>
      </c>
      <c r="B229" s="24">
        <v>0</v>
      </c>
      <c r="C229" s="24">
        <v>0</v>
      </c>
      <c r="D229" s="24">
        <v>0</v>
      </c>
      <c r="E229" s="24">
        <v>0</v>
      </c>
      <c r="F229" s="24">
        <v>0</v>
      </c>
      <c r="G229" s="24">
        <v>0</v>
      </c>
      <c r="H229" s="24">
        <v>6743174</v>
      </c>
      <c r="I229" s="24">
        <v>0</v>
      </c>
      <c r="J229" s="24">
        <v>0</v>
      </c>
      <c r="K229" s="24">
        <v>0</v>
      </c>
      <c r="L229" s="24">
        <v>0</v>
      </c>
      <c r="M229" s="24">
        <v>0</v>
      </c>
      <c r="N229" s="35">
        <f t="shared" si="3"/>
        <v>6743174</v>
      </c>
    </row>
    <row r="230" spans="1:14" ht="18" x14ac:dyDescent="0.3">
      <c r="A230" s="34" t="s">
        <v>319</v>
      </c>
      <c r="B230" s="24">
        <v>0</v>
      </c>
      <c r="C230" s="24">
        <v>0</v>
      </c>
      <c r="D230" s="24">
        <v>0</v>
      </c>
      <c r="E230" s="24">
        <v>0</v>
      </c>
      <c r="F230" s="24">
        <v>0</v>
      </c>
      <c r="G230" s="24">
        <v>0</v>
      </c>
      <c r="H230" s="24">
        <v>4920480</v>
      </c>
      <c r="I230" s="24">
        <v>0</v>
      </c>
      <c r="J230" s="24">
        <v>0</v>
      </c>
      <c r="K230" s="24">
        <v>0</v>
      </c>
      <c r="L230" s="24">
        <v>0</v>
      </c>
      <c r="M230" s="24">
        <v>0</v>
      </c>
      <c r="N230" s="35">
        <f t="shared" si="3"/>
        <v>4920480</v>
      </c>
    </row>
    <row r="231" spans="1:14" ht="18" x14ac:dyDescent="0.3">
      <c r="A231" s="34" t="s">
        <v>320</v>
      </c>
      <c r="B231" s="24">
        <v>0</v>
      </c>
      <c r="C231" s="24">
        <v>0</v>
      </c>
      <c r="D231" s="24">
        <v>0</v>
      </c>
      <c r="E231" s="24">
        <v>0</v>
      </c>
      <c r="F231" s="24">
        <v>0</v>
      </c>
      <c r="G231" s="24">
        <v>0</v>
      </c>
      <c r="H231" s="24">
        <v>1415664</v>
      </c>
      <c r="I231" s="24">
        <v>0</v>
      </c>
      <c r="J231" s="24">
        <v>0</v>
      </c>
      <c r="K231" s="24">
        <v>0</v>
      </c>
      <c r="L231" s="24">
        <v>0</v>
      </c>
      <c r="M231" s="24">
        <v>0</v>
      </c>
      <c r="N231" s="35">
        <f t="shared" si="3"/>
        <v>1415664</v>
      </c>
    </row>
    <row r="232" spans="1:14" ht="18" x14ac:dyDescent="0.3">
      <c r="A232" s="34" t="s">
        <v>321</v>
      </c>
      <c r="B232" s="24">
        <v>0</v>
      </c>
      <c r="C232" s="24">
        <v>0</v>
      </c>
      <c r="D232" s="24">
        <v>0</v>
      </c>
      <c r="E232" s="24">
        <v>0</v>
      </c>
      <c r="F232" s="24">
        <v>0</v>
      </c>
      <c r="G232" s="24">
        <v>0</v>
      </c>
      <c r="H232" s="24">
        <v>2492001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35">
        <f t="shared" si="3"/>
        <v>2492001</v>
      </c>
    </row>
    <row r="233" spans="1:14" ht="18" x14ac:dyDescent="0.3">
      <c r="A233" s="34" t="s">
        <v>322</v>
      </c>
      <c r="B233" s="24">
        <v>0</v>
      </c>
      <c r="C233" s="24">
        <v>0</v>
      </c>
      <c r="D233" s="24">
        <v>0</v>
      </c>
      <c r="E233" s="24">
        <v>0</v>
      </c>
      <c r="F233" s="24">
        <v>0</v>
      </c>
      <c r="G233" s="24">
        <v>0</v>
      </c>
      <c r="H233" s="24">
        <v>4425484</v>
      </c>
      <c r="I233" s="24">
        <v>0</v>
      </c>
      <c r="J233" s="24">
        <v>0</v>
      </c>
      <c r="K233" s="24">
        <v>0</v>
      </c>
      <c r="L233" s="24">
        <v>0</v>
      </c>
      <c r="M233" s="24">
        <v>0</v>
      </c>
      <c r="N233" s="35">
        <f t="shared" si="3"/>
        <v>4425484</v>
      </c>
    </row>
    <row r="234" spans="1:14" ht="18" x14ac:dyDescent="0.3">
      <c r="A234" s="34" t="s">
        <v>323</v>
      </c>
      <c r="B234" s="24">
        <v>0</v>
      </c>
      <c r="C234" s="24">
        <v>0</v>
      </c>
      <c r="D234" s="24">
        <v>0</v>
      </c>
      <c r="E234" s="24">
        <v>0</v>
      </c>
      <c r="F234" s="24">
        <v>0</v>
      </c>
      <c r="G234" s="24">
        <v>0</v>
      </c>
      <c r="H234" s="24">
        <v>3915520</v>
      </c>
      <c r="I234" s="24">
        <v>0</v>
      </c>
      <c r="J234" s="24">
        <v>0</v>
      </c>
      <c r="K234" s="24">
        <v>0</v>
      </c>
      <c r="L234" s="24">
        <v>0</v>
      </c>
      <c r="M234" s="24">
        <v>0</v>
      </c>
      <c r="N234" s="35">
        <f t="shared" si="3"/>
        <v>3915520</v>
      </c>
    </row>
    <row r="235" spans="1:14" ht="18" x14ac:dyDescent="0.3">
      <c r="A235" s="34" t="s">
        <v>324</v>
      </c>
      <c r="B235" s="24">
        <v>0</v>
      </c>
      <c r="C235" s="24">
        <v>0</v>
      </c>
      <c r="D235" s="24">
        <v>0</v>
      </c>
      <c r="E235" s="24">
        <v>0</v>
      </c>
      <c r="F235" s="24">
        <v>0</v>
      </c>
      <c r="G235" s="24">
        <v>0</v>
      </c>
      <c r="H235" s="24">
        <v>1647398</v>
      </c>
      <c r="I235" s="24">
        <v>0</v>
      </c>
      <c r="J235" s="24">
        <v>0</v>
      </c>
      <c r="K235" s="24">
        <v>0</v>
      </c>
      <c r="L235" s="24">
        <v>0</v>
      </c>
      <c r="M235" s="24">
        <v>0</v>
      </c>
      <c r="N235" s="35">
        <f t="shared" si="3"/>
        <v>1647398</v>
      </c>
    </row>
    <row r="236" spans="1:14" ht="18" x14ac:dyDescent="0.3">
      <c r="A236" s="34" t="s">
        <v>325</v>
      </c>
      <c r="B236" s="24">
        <v>0</v>
      </c>
      <c r="C236" s="24">
        <v>0</v>
      </c>
      <c r="D236" s="24">
        <v>0</v>
      </c>
      <c r="E236" s="24">
        <v>0</v>
      </c>
      <c r="F236" s="24">
        <v>0</v>
      </c>
      <c r="G236" s="24">
        <v>0</v>
      </c>
      <c r="H236" s="24">
        <v>4675605</v>
      </c>
      <c r="I236" s="24">
        <v>0</v>
      </c>
      <c r="J236" s="24">
        <v>0</v>
      </c>
      <c r="K236" s="24">
        <v>0</v>
      </c>
      <c r="L236" s="24">
        <v>0</v>
      </c>
      <c r="M236" s="24">
        <v>0</v>
      </c>
      <c r="N236" s="35">
        <f t="shared" si="3"/>
        <v>4675605</v>
      </c>
    </row>
    <row r="237" spans="1:14" ht="18" x14ac:dyDescent="0.3">
      <c r="A237" s="34" t="s">
        <v>326</v>
      </c>
      <c r="B237" s="24">
        <v>0</v>
      </c>
      <c r="C237" s="24">
        <v>0</v>
      </c>
      <c r="D237" s="24">
        <v>0</v>
      </c>
      <c r="E237" s="24">
        <v>0</v>
      </c>
      <c r="F237" s="24">
        <v>0</v>
      </c>
      <c r="G237" s="24">
        <v>0</v>
      </c>
      <c r="H237" s="24">
        <v>6775020</v>
      </c>
      <c r="I237" s="24">
        <v>0</v>
      </c>
      <c r="J237" s="24">
        <v>0</v>
      </c>
      <c r="K237" s="24">
        <v>0</v>
      </c>
      <c r="L237" s="24">
        <v>0</v>
      </c>
      <c r="M237" s="24">
        <v>0</v>
      </c>
      <c r="N237" s="35">
        <f t="shared" si="3"/>
        <v>6775020</v>
      </c>
    </row>
    <row r="238" spans="1:14" ht="18" x14ac:dyDescent="0.3">
      <c r="A238" s="34" t="s">
        <v>327</v>
      </c>
      <c r="B238" s="24">
        <v>0</v>
      </c>
      <c r="C238" s="24">
        <v>0</v>
      </c>
      <c r="D238" s="24">
        <v>0</v>
      </c>
      <c r="E238" s="24">
        <v>0</v>
      </c>
      <c r="F238" s="24">
        <v>0</v>
      </c>
      <c r="G238" s="24">
        <v>0</v>
      </c>
      <c r="H238" s="24">
        <v>4716328</v>
      </c>
      <c r="I238" s="24">
        <v>0</v>
      </c>
      <c r="J238" s="24">
        <v>0</v>
      </c>
      <c r="K238" s="24">
        <v>0</v>
      </c>
      <c r="L238" s="24">
        <v>0</v>
      </c>
      <c r="M238" s="24">
        <v>0</v>
      </c>
      <c r="N238" s="35">
        <f t="shared" si="3"/>
        <v>4716328</v>
      </c>
    </row>
    <row r="239" spans="1:14" ht="18" x14ac:dyDescent="0.3">
      <c r="A239" s="34" t="s">
        <v>328</v>
      </c>
      <c r="B239" s="24">
        <v>0</v>
      </c>
      <c r="C239" s="24">
        <v>0</v>
      </c>
      <c r="D239" s="24">
        <v>0</v>
      </c>
      <c r="E239" s="24">
        <v>0</v>
      </c>
      <c r="F239" s="24">
        <v>0</v>
      </c>
      <c r="G239" s="24">
        <v>0</v>
      </c>
      <c r="H239" s="24">
        <v>3670800</v>
      </c>
      <c r="I239" s="24">
        <v>0</v>
      </c>
      <c r="J239" s="24">
        <v>0</v>
      </c>
      <c r="K239" s="24">
        <v>0</v>
      </c>
      <c r="L239" s="24">
        <v>0</v>
      </c>
      <c r="M239" s="24">
        <v>0</v>
      </c>
      <c r="N239" s="35">
        <f t="shared" si="3"/>
        <v>3670800</v>
      </c>
    </row>
    <row r="240" spans="1:14" ht="18" x14ac:dyDescent="0.3">
      <c r="A240" s="34" t="s">
        <v>329</v>
      </c>
      <c r="B240" s="24">
        <v>0</v>
      </c>
      <c r="C240" s="24">
        <v>0</v>
      </c>
      <c r="D240" s="24">
        <v>0</v>
      </c>
      <c r="E240" s="24">
        <v>0</v>
      </c>
      <c r="F240" s="24">
        <v>0</v>
      </c>
      <c r="G240" s="24">
        <v>0</v>
      </c>
      <c r="H240" s="24">
        <v>1797276</v>
      </c>
      <c r="I240" s="24">
        <v>0</v>
      </c>
      <c r="J240" s="24">
        <v>0</v>
      </c>
      <c r="K240" s="24">
        <v>0</v>
      </c>
      <c r="L240" s="24">
        <v>0</v>
      </c>
      <c r="M240" s="24">
        <v>0</v>
      </c>
      <c r="N240" s="35">
        <f t="shared" si="3"/>
        <v>1797276</v>
      </c>
    </row>
    <row r="241" spans="1:14" ht="18" x14ac:dyDescent="0.3">
      <c r="A241" s="34" t="s">
        <v>330</v>
      </c>
      <c r="B241" s="24">
        <v>0</v>
      </c>
      <c r="C241" s="24">
        <v>0</v>
      </c>
      <c r="D241" s="24">
        <v>0</v>
      </c>
      <c r="E241" s="24">
        <v>0</v>
      </c>
      <c r="F241" s="24">
        <v>0</v>
      </c>
      <c r="G241" s="24">
        <v>0</v>
      </c>
      <c r="H241" s="24">
        <v>1117455</v>
      </c>
      <c r="I241" s="24">
        <v>0</v>
      </c>
      <c r="J241" s="24">
        <v>0</v>
      </c>
      <c r="K241" s="24">
        <v>0</v>
      </c>
      <c r="L241" s="24">
        <v>0</v>
      </c>
      <c r="M241" s="24">
        <v>0</v>
      </c>
      <c r="N241" s="35">
        <f t="shared" si="3"/>
        <v>1117455</v>
      </c>
    </row>
    <row r="242" spans="1:14" ht="18" x14ac:dyDescent="0.3">
      <c r="A242" s="34" t="s">
        <v>331</v>
      </c>
      <c r="B242" s="24">
        <v>0</v>
      </c>
      <c r="C242" s="24">
        <v>0</v>
      </c>
      <c r="D242" s="24">
        <v>0</v>
      </c>
      <c r="E242" s="24">
        <v>0</v>
      </c>
      <c r="F242" s="24">
        <v>0</v>
      </c>
      <c r="G242" s="24">
        <v>0</v>
      </c>
      <c r="H242" s="24">
        <v>2037110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35">
        <f t="shared" si="3"/>
        <v>2037110</v>
      </c>
    </row>
    <row r="243" spans="1:14" ht="18" x14ac:dyDescent="0.3">
      <c r="A243" s="34" t="s">
        <v>332</v>
      </c>
      <c r="B243" s="24">
        <v>0</v>
      </c>
      <c r="C243" s="24">
        <v>0</v>
      </c>
      <c r="D243" s="24">
        <v>0</v>
      </c>
      <c r="E243" s="24">
        <v>0</v>
      </c>
      <c r="F243" s="24">
        <v>0</v>
      </c>
      <c r="G243" s="24">
        <v>0</v>
      </c>
      <c r="H243" s="24">
        <v>5819940</v>
      </c>
      <c r="I243" s="24">
        <v>0</v>
      </c>
      <c r="J243" s="24">
        <v>0</v>
      </c>
      <c r="K243" s="24">
        <v>0</v>
      </c>
      <c r="L243" s="24">
        <v>0</v>
      </c>
      <c r="M243" s="24">
        <v>0</v>
      </c>
      <c r="N243" s="35">
        <f t="shared" si="3"/>
        <v>5819940</v>
      </c>
    </row>
    <row r="244" spans="1:14" ht="18" x14ac:dyDescent="0.3">
      <c r="A244" s="34" t="s">
        <v>333</v>
      </c>
      <c r="B244" s="24">
        <v>0</v>
      </c>
      <c r="C244" s="24">
        <v>0</v>
      </c>
      <c r="D244" s="24">
        <v>0</v>
      </c>
      <c r="E244" s="24">
        <v>0</v>
      </c>
      <c r="F244" s="24">
        <v>0</v>
      </c>
      <c r="G244" s="24">
        <v>0</v>
      </c>
      <c r="H244" s="24">
        <v>4445500</v>
      </c>
      <c r="I244" s="24">
        <v>0</v>
      </c>
      <c r="J244" s="24">
        <v>0</v>
      </c>
      <c r="K244" s="24">
        <v>0</v>
      </c>
      <c r="L244" s="24">
        <v>0</v>
      </c>
      <c r="M244" s="24">
        <v>0</v>
      </c>
      <c r="N244" s="35">
        <f t="shared" si="3"/>
        <v>4445500</v>
      </c>
    </row>
    <row r="245" spans="1:14" ht="18" x14ac:dyDescent="0.3">
      <c r="A245" s="34" t="s">
        <v>334</v>
      </c>
      <c r="B245" s="24">
        <v>0</v>
      </c>
      <c r="C245" s="24">
        <v>0</v>
      </c>
      <c r="D245" s="24">
        <v>0</v>
      </c>
      <c r="E245" s="24">
        <v>0</v>
      </c>
      <c r="F245" s="24">
        <v>0</v>
      </c>
      <c r="G245" s="24">
        <v>0</v>
      </c>
      <c r="H245" s="24">
        <v>3252402</v>
      </c>
      <c r="I245" s="24">
        <v>0</v>
      </c>
      <c r="J245" s="24">
        <v>0</v>
      </c>
      <c r="K245" s="24">
        <v>0</v>
      </c>
      <c r="L245" s="24">
        <v>0</v>
      </c>
      <c r="M245" s="24">
        <v>0</v>
      </c>
      <c r="N245" s="35">
        <f t="shared" si="3"/>
        <v>3252402</v>
      </c>
    </row>
    <row r="246" spans="1:14" ht="18" x14ac:dyDescent="0.3">
      <c r="A246" s="34" t="s">
        <v>335</v>
      </c>
      <c r="B246" s="24">
        <v>0</v>
      </c>
      <c r="C246" s="24">
        <v>0</v>
      </c>
      <c r="D246" s="24">
        <v>0</v>
      </c>
      <c r="E246" s="24">
        <v>0</v>
      </c>
      <c r="F246" s="24">
        <v>0</v>
      </c>
      <c r="G246" s="24">
        <v>0</v>
      </c>
      <c r="H246" s="24">
        <v>3336606</v>
      </c>
      <c r="I246" s="24">
        <v>0</v>
      </c>
      <c r="J246" s="24">
        <v>0</v>
      </c>
      <c r="K246" s="24">
        <v>0</v>
      </c>
      <c r="L246" s="24">
        <v>0</v>
      </c>
      <c r="M246" s="24">
        <v>0</v>
      </c>
      <c r="N246" s="35">
        <f t="shared" si="3"/>
        <v>3336606</v>
      </c>
    </row>
    <row r="247" spans="1:14" ht="18" x14ac:dyDescent="0.3">
      <c r="A247" s="34" t="s">
        <v>336</v>
      </c>
      <c r="B247" s="24">
        <v>0</v>
      </c>
      <c r="C247" s="24">
        <v>0</v>
      </c>
      <c r="D247" s="24">
        <v>0</v>
      </c>
      <c r="E247" s="24">
        <v>0</v>
      </c>
      <c r="F247" s="24">
        <v>0</v>
      </c>
      <c r="G247" s="24">
        <v>0</v>
      </c>
      <c r="H247" s="24">
        <v>3959640</v>
      </c>
      <c r="I247" s="24">
        <v>0</v>
      </c>
      <c r="J247" s="24">
        <v>0</v>
      </c>
      <c r="K247" s="24">
        <v>0</v>
      </c>
      <c r="L247" s="24">
        <v>0</v>
      </c>
      <c r="M247" s="24">
        <v>0</v>
      </c>
      <c r="N247" s="35">
        <f t="shared" si="3"/>
        <v>3959640</v>
      </c>
    </row>
    <row r="248" spans="1:14" ht="18" x14ac:dyDescent="0.3">
      <c r="A248" s="34" t="s">
        <v>337</v>
      </c>
      <c r="B248" s="24">
        <v>0</v>
      </c>
      <c r="C248" s="24">
        <v>0</v>
      </c>
      <c r="D248" s="24">
        <v>0</v>
      </c>
      <c r="E248" s="24">
        <v>0</v>
      </c>
      <c r="F248" s="24">
        <v>0</v>
      </c>
      <c r="G248" s="24">
        <v>0</v>
      </c>
      <c r="H248" s="24">
        <v>3552240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35">
        <f t="shared" si="3"/>
        <v>3552240</v>
      </c>
    </row>
    <row r="249" spans="1:14" ht="18" x14ac:dyDescent="0.3">
      <c r="A249" s="34" t="s">
        <v>338</v>
      </c>
      <c r="B249" s="24">
        <v>0</v>
      </c>
      <c r="C249" s="24">
        <v>0</v>
      </c>
      <c r="D249" s="24">
        <v>0</v>
      </c>
      <c r="E249" s="24">
        <v>0</v>
      </c>
      <c r="F249" s="24">
        <v>0</v>
      </c>
      <c r="G249" s="24">
        <v>0</v>
      </c>
      <c r="H249" s="24">
        <v>6414320</v>
      </c>
      <c r="I249" s="24">
        <v>0</v>
      </c>
      <c r="J249" s="24">
        <v>0</v>
      </c>
      <c r="K249" s="24">
        <v>0</v>
      </c>
      <c r="L249" s="24">
        <v>0</v>
      </c>
      <c r="M249" s="24">
        <v>0</v>
      </c>
      <c r="N249" s="35">
        <f t="shared" si="3"/>
        <v>6414320</v>
      </c>
    </row>
    <row r="250" spans="1:14" ht="18" x14ac:dyDescent="0.3">
      <c r="A250" s="34" t="s">
        <v>339</v>
      </c>
      <c r="B250" s="24">
        <v>0</v>
      </c>
      <c r="C250" s="24">
        <v>0</v>
      </c>
      <c r="D250" s="24">
        <v>0</v>
      </c>
      <c r="E250" s="24">
        <v>0</v>
      </c>
      <c r="F250" s="24">
        <v>0</v>
      </c>
      <c r="G250" s="24">
        <v>0</v>
      </c>
      <c r="H250" s="24">
        <v>2553980</v>
      </c>
      <c r="I250" s="24">
        <v>0</v>
      </c>
      <c r="J250" s="24">
        <v>0</v>
      </c>
      <c r="K250" s="24">
        <v>0</v>
      </c>
      <c r="L250" s="24">
        <v>0</v>
      </c>
      <c r="M250" s="24">
        <v>0</v>
      </c>
      <c r="N250" s="35">
        <f t="shared" si="3"/>
        <v>2553980</v>
      </c>
    </row>
    <row r="251" spans="1:14" ht="18" x14ac:dyDescent="0.3">
      <c r="A251" s="34" t="s">
        <v>340</v>
      </c>
      <c r="B251" s="24">
        <v>0</v>
      </c>
      <c r="C251" s="24">
        <v>0</v>
      </c>
      <c r="D251" s="24">
        <v>0</v>
      </c>
      <c r="E251" s="24">
        <v>0</v>
      </c>
      <c r="F251" s="24">
        <v>0</v>
      </c>
      <c r="G251" s="24">
        <v>0</v>
      </c>
      <c r="H251" s="24">
        <v>2927020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35">
        <f t="shared" si="3"/>
        <v>2927020</v>
      </c>
    </row>
    <row r="252" spans="1:14" ht="18" x14ac:dyDescent="0.3">
      <c r="A252" s="34" t="s">
        <v>341</v>
      </c>
      <c r="B252" s="24">
        <v>0</v>
      </c>
      <c r="C252" s="24">
        <v>0</v>
      </c>
      <c r="D252" s="24">
        <v>0</v>
      </c>
      <c r="E252" s="24">
        <v>0</v>
      </c>
      <c r="F252" s="24">
        <v>0</v>
      </c>
      <c r="G252" s="24">
        <v>0</v>
      </c>
      <c r="H252" s="24">
        <v>2357547</v>
      </c>
      <c r="I252" s="24">
        <v>0</v>
      </c>
      <c r="J252" s="24">
        <v>0</v>
      </c>
      <c r="K252" s="24">
        <v>0</v>
      </c>
      <c r="L252" s="24">
        <v>0</v>
      </c>
      <c r="M252" s="24">
        <v>0</v>
      </c>
      <c r="N252" s="35">
        <f t="shared" si="3"/>
        <v>2357547</v>
      </c>
    </row>
    <row r="253" spans="1:14" ht="18" x14ac:dyDescent="0.3">
      <c r="A253" s="34" t="s">
        <v>342</v>
      </c>
      <c r="B253" s="24">
        <v>0</v>
      </c>
      <c r="C253" s="24">
        <v>0</v>
      </c>
      <c r="D253" s="24">
        <v>0</v>
      </c>
      <c r="E253" s="24">
        <v>0</v>
      </c>
      <c r="F253" s="24">
        <v>0</v>
      </c>
      <c r="G253" s="24">
        <v>0</v>
      </c>
      <c r="H253" s="24">
        <v>1705632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35">
        <f t="shared" si="3"/>
        <v>1705632</v>
      </c>
    </row>
    <row r="254" spans="1:14" ht="18" x14ac:dyDescent="0.3">
      <c r="A254" s="34" t="s">
        <v>343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4258261</v>
      </c>
      <c r="I254" s="24">
        <v>0</v>
      </c>
      <c r="J254" s="24">
        <v>0</v>
      </c>
      <c r="K254" s="24">
        <v>4258261</v>
      </c>
      <c r="L254" s="24">
        <v>0</v>
      </c>
      <c r="M254" s="24">
        <v>0</v>
      </c>
      <c r="N254" s="35">
        <f t="shared" si="3"/>
        <v>8516522</v>
      </c>
    </row>
    <row r="255" spans="1:14" ht="18" x14ac:dyDescent="0.3">
      <c r="A255" s="34" t="s">
        <v>344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5919366</v>
      </c>
      <c r="I255" s="24">
        <v>0</v>
      </c>
      <c r="J255" s="24">
        <v>0</v>
      </c>
      <c r="K255" s="24">
        <v>0</v>
      </c>
      <c r="L255" s="24">
        <v>5919366</v>
      </c>
      <c r="M255" s="24">
        <v>0</v>
      </c>
      <c r="N255" s="35">
        <f t="shared" si="3"/>
        <v>11838732</v>
      </c>
    </row>
    <row r="256" spans="1:14" ht="18" x14ac:dyDescent="0.3">
      <c r="A256" s="34" t="s">
        <v>345</v>
      </c>
      <c r="B256" s="24">
        <v>0</v>
      </c>
      <c r="C256" s="24">
        <v>0</v>
      </c>
      <c r="D256" s="24">
        <v>0</v>
      </c>
      <c r="E256" s="24">
        <v>0</v>
      </c>
      <c r="F256" s="24">
        <v>0</v>
      </c>
      <c r="G256" s="24">
        <v>0</v>
      </c>
      <c r="H256" s="24">
        <v>5193090</v>
      </c>
      <c r="I256" s="24">
        <v>0</v>
      </c>
      <c r="J256" s="24">
        <v>0</v>
      </c>
      <c r="K256" s="24">
        <v>0</v>
      </c>
      <c r="L256" s="24">
        <v>5193090</v>
      </c>
      <c r="M256" s="24">
        <v>0</v>
      </c>
      <c r="N256" s="35">
        <f t="shared" si="3"/>
        <v>10386180</v>
      </c>
    </row>
    <row r="257" spans="1:14" ht="18" x14ac:dyDescent="0.3">
      <c r="A257" s="34" t="s">
        <v>346</v>
      </c>
      <c r="B257" s="24">
        <v>0</v>
      </c>
      <c r="C257" s="24">
        <v>0</v>
      </c>
      <c r="D257" s="24">
        <v>0</v>
      </c>
      <c r="E257" s="24">
        <v>0</v>
      </c>
      <c r="F257" s="24">
        <v>0</v>
      </c>
      <c r="G257" s="24">
        <v>0</v>
      </c>
      <c r="H257" s="24">
        <v>9222833</v>
      </c>
      <c r="I257" s="24">
        <v>0</v>
      </c>
      <c r="J257" s="24">
        <v>0</v>
      </c>
      <c r="K257" s="24">
        <v>0</v>
      </c>
      <c r="L257" s="24">
        <v>9222833</v>
      </c>
      <c r="M257" s="24">
        <v>0</v>
      </c>
      <c r="N257" s="35">
        <f t="shared" si="3"/>
        <v>18445666</v>
      </c>
    </row>
    <row r="258" spans="1:14" ht="18" x14ac:dyDescent="0.3">
      <c r="A258" s="34" t="s">
        <v>347</v>
      </c>
      <c r="B258" s="24">
        <v>0</v>
      </c>
      <c r="C258" s="24">
        <v>0</v>
      </c>
      <c r="D258" s="24">
        <v>0</v>
      </c>
      <c r="E258" s="24">
        <v>0</v>
      </c>
      <c r="F258" s="24">
        <v>0</v>
      </c>
      <c r="G258" s="24">
        <v>0</v>
      </c>
      <c r="H258" s="24">
        <v>1135050</v>
      </c>
      <c r="I258" s="24">
        <v>0</v>
      </c>
      <c r="J258" s="24">
        <v>0</v>
      </c>
      <c r="K258" s="24">
        <v>0</v>
      </c>
      <c r="L258" s="24">
        <v>1135050</v>
      </c>
      <c r="M258" s="24">
        <v>0</v>
      </c>
      <c r="N258" s="35">
        <f t="shared" si="3"/>
        <v>2270100</v>
      </c>
    </row>
    <row r="259" spans="1:14" ht="18" x14ac:dyDescent="0.3">
      <c r="A259" s="34" t="s">
        <v>348</v>
      </c>
      <c r="B259" s="24">
        <v>0</v>
      </c>
      <c r="C259" s="24">
        <v>0</v>
      </c>
      <c r="D259" s="24">
        <v>0</v>
      </c>
      <c r="E259" s="24">
        <v>0</v>
      </c>
      <c r="F259" s="24">
        <v>0</v>
      </c>
      <c r="G259" s="24">
        <v>0</v>
      </c>
      <c r="H259" s="24">
        <v>7271810</v>
      </c>
      <c r="I259" s="24">
        <v>0</v>
      </c>
      <c r="J259" s="24">
        <v>0</v>
      </c>
      <c r="K259" s="24">
        <v>0</v>
      </c>
      <c r="L259" s="24">
        <v>7271810</v>
      </c>
      <c r="M259" s="24">
        <v>0</v>
      </c>
      <c r="N259" s="35">
        <f t="shared" ref="N259:N322" si="4">SUM($B259:$L259)</f>
        <v>14543620</v>
      </c>
    </row>
    <row r="260" spans="1:14" ht="18" x14ac:dyDescent="0.3">
      <c r="A260" s="34" t="s">
        <v>349</v>
      </c>
      <c r="B260" s="24">
        <v>0</v>
      </c>
      <c r="C260" s="24">
        <v>0</v>
      </c>
      <c r="D260" s="24">
        <v>0</v>
      </c>
      <c r="E260" s="24">
        <v>0</v>
      </c>
      <c r="F260" s="24">
        <v>0</v>
      </c>
      <c r="G260" s="24">
        <v>0</v>
      </c>
      <c r="H260" s="24">
        <v>0</v>
      </c>
      <c r="I260" s="24">
        <v>1287616</v>
      </c>
      <c r="J260" s="24">
        <v>0</v>
      </c>
      <c r="K260" s="24">
        <v>0</v>
      </c>
      <c r="L260" s="24">
        <v>1287616</v>
      </c>
      <c r="M260" s="24">
        <v>0</v>
      </c>
      <c r="N260" s="35">
        <f t="shared" si="4"/>
        <v>2575232</v>
      </c>
    </row>
    <row r="261" spans="1:14" ht="18" x14ac:dyDescent="0.3">
      <c r="A261" s="34" t="s">
        <v>350</v>
      </c>
      <c r="B261" s="24">
        <v>0</v>
      </c>
      <c r="C261" s="24">
        <v>0</v>
      </c>
      <c r="D261" s="24">
        <v>0</v>
      </c>
      <c r="E261" s="24">
        <v>0</v>
      </c>
      <c r="F261" s="24">
        <v>0</v>
      </c>
      <c r="G261" s="24">
        <v>0</v>
      </c>
      <c r="H261" s="24">
        <v>0</v>
      </c>
      <c r="I261" s="24">
        <v>2340720</v>
      </c>
      <c r="J261" s="24">
        <v>0</v>
      </c>
      <c r="K261" s="24">
        <v>0</v>
      </c>
      <c r="L261" s="24">
        <v>2340720</v>
      </c>
      <c r="M261" s="24">
        <v>0</v>
      </c>
      <c r="N261" s="35">
        <f t="shared" si="4"/>
        <v>4681440</v>
      </c>
    </row>
    <row r="262" spans="1:14" ht="18" x14ac:dyDescent="0.3">
      <c r="A262" s="34" t="s">
        <v>351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6225168</v>
      </c>
      <c r="J262" s="24">
        <v>0</v>
      </c>
      <c r="K262" s="24">
        <v>0</v>
      </c>
      <c r="L262" s="24">
        <v>6225168</v>
      </c>
      <c r="M262" s="24">
        <v>0</v>
      </c>
      <c r="N262" s="35">
        <f t="shared" si="4"/>
        <v>12450336</v>
      </c>
    </row>
    <row r="263" spans="1:14" ht="18" x14ac:dyDescent="0.3">
      <c r="A263" s="34" t="s">
        <v>352</v>
      </c>
      <c r="B263" s="24">
        <v>0</v>
      </c>
      <c r="C263" s="24">
        <v>0</v>
      </c>
      <c r="D263" s="24">
        <v>0</v>
      </c>
      <c r="E263" s="24">
        <v>0</v>
      </c>
      <c r="F263" s="24">
        <v>0</v>
      </c>
      <c r="G263" s="24">
        <v>0</v>
      </c>
      <c r="H263" s="24">
        <v>0</v>
      </c>
      <c r="I263" s="24">
        <v>4601856</v>
      </c>
      <c r="J263" s="24">
        <v>0</v>
      </c>
      <c r="K263" s="24">
        <v>0</v>
      </c>
      <c r="L263" s="24">
        <v>4601856</v>
      </c>
      <c r="M263" s="24">
        <v>0</v>
      </c>
      <c r="N263" s="35">
        <f t="shared" si="4"/>
        <v>9203712</v>
      </c>
    </row>
    <row r="264" spans="1:14" ht="18" x14ac:dyDescent="0.3">
      <c r="A264" s="34" t="s">
        <v>353</v>
      </c>
      <c r="B264" s="24">
        <v>0</v>
      </c>
      <c r="C264" s="24">
        <v>0</v>
      </c>
      <c r="D264" s="24">
        <v>0</v>
      </c>
      <c r="E264" s="24">
        <v>0</v>
      </c>
      <c r="F264" s="24">
        <v>0</v>
      </c>
      <c r="G264" s="24">
        <v>0</v>
      </c>
      <c r="H264" s="24">
        <v>0</v>
      </c>
      <c r="I264" s="24">
        <v>5025273</v>
      </c>
      <c r="J264" s="24">
        <v>0</v>
      </c>
      <c r="K264" s="24">
        <v>0</v>
      </c>
      <c r="L264" s="24">
        <v>5025273</v>
      </c>
      <c r="M264" s="24">
        <v>0</v>
      </c>
      <c r="N264" s="35">
        <f t="shared" si="4"/>
        <v>10050546</v>
      </c>
    </row>
    <row r="265" spans="1:14" ht="18" x14ac:dyDescent="0.3">
      <c r="A265" s="34" t="s">
        <v>354</v>
      </c>
      <c r="B265" s="24">
        <v>0</v>
      </c>
      <c r="C265" s="24">
        <v>0</v>
      </c>
      <c r="D265" s="24">
        <v>0</v>
      </c>
      <c r="E265" s="24">
        <v>0</v>
      </c>
      <c r="F265" s="24">
        <v>0</v>
      </c>
      <c r="G265" s="24">
        <v>0</v>
      </c>
      <c r="H265" s="24">
        <v>0</v>
      </c>
      <c r="I265" s="24">
        <v>1862499</v>
      </c>
      <c r="J265" s="24">
        <v>0</v>
      </c>
      <c r="K265" s="24">
        <v>0</v>
      </c>
      <c r="L265" s="24">
        <v>0</v>
      </c>
      <c r="M265" s="24">
        <v>1862499</v>
      </c>
      <c r="N265" s="35">
        <f t="shared" si="4"/>
        <v>1862499</v>
      </c>
    </row>
    <row r="266" spans="1:14" ht="18" x14ac:dyDescent="0.3">
      <c r="A266" s="34" t="s">
        <v>355</v>
      </c>
      <c r="B266" s="24">
        <v>0</v>
      </c>
      <c r="C266" s="24">
        <v>0</v>
      </c>
      <c r="D266" s="24">
        <v>0</v>
      </c>
      <c r="E266" s="24">
        <v>0</v>
      </c>
      <c r="F266" s="24">
        <v>0</v>
      </c>
      <c r="G266" s="24">
        <v>0</v>
      </c>
      <c r="H266" s="24">
        <v>0</v>
      </c>
      <c r="I266" s="24">
        <v>2236572</v>
      </c>
      <c r="J266" s="24">
        <v>0</v>
      </c>
      <c r="K266" s="24">
        <v>0</v>
      </c>
      <c r="L266" s="24">
        <v>0</v>
      </c>
      <c r="M266" s="24">
        <v>2236572</v>
      </c>
      <c r="N266" s="35">
        <f t="shared" si="4"/>
        <v>2236572</v>
      </c>
    </row>
    <row r="267" spans="1:14" ht="18" x14ac:dyDescent="0.3">
      <c r="A267" s="34" t="s">
        <v>356</v>
      </c>
      <c r="B267" s="24">
        <v>0</v>
      </c>
      <c r="C267" s="24">
        <v>0</v>
      </c>
      <c r="D267" s="24">
        <v>0</v>
      </c>
      <c r="E267" s="24">
        <v>0</v>
      </c>
      <c r="F267" s="24">
        <v>0</v>
      </c>
      <c r="G267" s="24">
        <v>0</v>
      </c>
      <c r="H267" s="24">
        <v>0</v>
      </c>
      <c r="I267" s="24">
        <v>5532150</v>
      </c>
      <c r="J267" s="24">
        <v>0</v>
      </c>
      <c r="K267" s="24">
        <v>0</v>
      </c>
      <c r="L267" s="24">
        <v>0</v>
      </c>
      <c r="M267" s="24">
        <v>5532150</v>
      </c>
      <c r="N267" s="35">
        <f t="shared" si="4"/>
        <v>5532150</v>
      </c>
    </row>
    <row r="268" spans="1:14" ht="18" x14ac:dyDescent="0.3">
      <c r="A268" s="34" t="s">
        <v>357</v>
      </c>
      <c r="B268" s="24">
        <v>0</v>
      </c>
      <c r="C268" s="24">
        <v>0</v>
      </c>
      <c r="D268" s="24">
        <v>0</v>
      </c>
      <c r="E268" s="24">
        <v>0</v>
      </c>
      <c r="F268" s="24">
        <v>0</v>
      </c>
      <c r="G268" s="24">
        <v>0</v>
      </c>
      <c r="H268" s="24">
        <v>0</v>
      </c>
      <c r="I268" s="24">
        <v>2886224</v>
      </c>
      <c r="J268" s="24">
        <v>0</v>
      </c>
      <c r="K268" s="24">
        <v>0</v>
      </c>
      <c r="L268" s="24">
        <v>0</v>
      </c>
      <c r="M268" s="24">
        <v>2886224</v>
      </c>
      <c r="N268" s="35">
        <f t="shared" si="4"/>
        <v>2886224</v>
      </c>
    </row>
    <row r="269" spans="1:14" ht="18" x14ac:dyDescent="0.3">
      <c r="A269" s="34" t="s">
        <v>358</v>
      </c>
      <c r="B269" s="24">
        <v>0</v>
      </c>
      <c r="C269" s="24">
        <v>0</v>
      </c>
      <c r="D269" s="24">
        <v>0</v>
      </c>
      <c r="E269" s="24">
        <v>0</v>
      </c>
      <c r="F269" s="24">
        <v>0</v>
      </c>
      <c r="G269" s="24">
        <v>0</v>
      </c>
      <c r="H269" s="24">
        <v>0</v>
      </c>
      <c r="I269" s="24">
        <v>1095917</v>
      </c>
      <c r="J269" s="24">
        <v>0</v>
      </c>
      <c r="K269" s="24">
        <v>0</v>
      </c>
      <c r="L269" s="24">
        <v>0</v>
      </c>
      <c r="M269" s="24">
        <v>1095917</v>
      </c>
      <c r="N269" s="35">
        <f t="shared" si="4"/>
        <v>1095917</v>
      </c>
    </row>
    <row r="270" spans="1:14" ht="18" x14ac:dyDescent="0.3">
      <c r="A270" s="34" t="s">
        <v>359</v>
      </c>
      <c r="B270" s="24">
        <v>0</v>
      </c>
      <c r="C270" s="24">
        <v>0</v>
      </c>
      <c r="D270" s="24">
        <v>0</v>
      </c>
      <c r="E270" s="24">
        <v>0</v>
      </c>
      <c r="F270" s="24">
        <v>0</v>
      </c>
      <c r="G270" s="24">
        <v>0</v>
      </c>
      <c r="H270" s="24">
        <v>0</v>
      </c>
      <c r="I270" s="24">
        <v>9388344</v>
      </c>
      <c r="J270" s="24">
        <v>0</v>
      </c>
      <c r="K270" s="24">
        <v>0</v>
      </c>
      <c r="L270" s="24">
        <v>0</v>
      </c>
      <c r="M270" s="24">
        <v>9388344</v>
      </c>
      <c r="N270" s="35">
        <f t="shared" si="4"/>
        <v>9388344</v>
      </c>
    </row>
    <row r="271" spans="1:14" ht="18" x14ac:dyDescent="0.3">
      <c r="A271" s="34" t="s">
        <v>360</v>
      </c>
      <c r="B271" s="24">
        <v>0</v>
      </c>
      <c r="C271" s="24">
        <v>0</v>
      </c>
      <c r="D271" s="24">
        <v>0</v>
      </c>
      <c r="E271" s="24">
        <v>0</v>
      </c>
      <c r="F271" s="24">
        <v>0</v>
      </c>
      <c r="G271" s="24">
        <v>0</v>
      </c>
      <c r="H271" s="24">
        <v>0</v>
      </c>
      <c r="I271" s="24">
        <v>1835447</v>
      </c>
      <c r="J271" s="24">
        <v>0</v>
      </c>
      <c r="K271" s="24">
        <v>0</v>
      </c>
      <c r="L271" s="24">
        <v>0</v>
      </c>
      <c r="M271" s="24">
        <v>1835447</v>
      </c>
      <c r="N271" s="35">
        <f t="shared" si="4"/>
        <v>1835447</v>
      </c>
    </row>
    <row r="272" spans="1:14" ht="18" x14ac:dyDescent="0.3">
      <c r="A272" s="34" t="s">
        <v>361</v>
      </c>
      <c r="B272" s="24">
        <v>0</v>
      </c>
      <c r="C272" s="24">
        <v>0</v>
      </c>
      <c r="D272" s="24">
        <v>0</v>
      </c>
      <c r="E272" s="24">
        <v>0</v>
      </c>
      <c r="F272" s="24">
        <v>0</v>
      </c>
      <c r="G272" s="24">
        <v>0</v>
      </c>
      <c r="H272" s="24">
        <v>0</v>
      </c>
      <c r="I272" s="24">
        <v>991827</v>
      </c>
      <c r="J272" s="24">
        <v>0</v>
      </c>
      <c r="K272" s="24">
        <v>0</v>
      </c>
      <c r="L272" s="24">
        <v>0</v>
      </c>
      <c r="M272" s="24">
        <v>991827</v>
      </c>
      <c r="N272" s="35">
        <f t="shared" si="4"/>
        <v>991827</v>
      </c>
    </row>
    <row r="273" spans="1:14" ht="18" x14ac:dyDescent="0.3">
      <c r="A273" s="34" t="s">
        <v>362</v>
      </c>
      <c r="B273" s="24">
        <v>0</v>
      </c>
      <c r="C273" s="24">
        <v>0</v>
      </c>
      <c r="D273" s="24">
        <v>0</v>
      </c>
      <c r="E273" s="24">
        <v>0</v>
      </c>
      <c r="F273" s="24">
        <v>0</v>
      </c>
      <c r="G273" s="24">
        <v>0</v>
      </c>
      <c r="H273" s="24">
        <v>0</v>
      </c>
      <c r="I273" s="24">
        <v>7275450</v>
      </c>
      <c r="J273" s="24">
        <v>0</v>
      </c>
      <c r="K273" s="24">
        <v>0</v>
      </c>
      <c r="L273" s="24">
        <v>0</v>
      </c>
      <c r="M273" s="24">
        <v>7275450</v>
      </c>
      <c r="N273" s="35">
        <f t="shared" si="4"/>
        <v>7275450</v>
      </c>
    </row>
    <row r="274" spans="1:14" ht="18" x14ac:dyDescent="0.3">
      <c r="A274" s="34" t="s">
        <v>363</v>
      </c>
      <c r="B274" s="24">
        <v>0</v>
      </c>
      <c r="C274" s="24">
        <v>0</v>
      </c>
      <c r="D274" s="24">
        <v>0</v>
      </c>
      <c r="E274" s="24">
        <v>0</v>
      </c>
      <c r="F274" s="24">
        <v>0</v>
      </c>
      <c r="G274" s="24">
        <v>0</v>
      </c>
      <c r="H274" s="24">
        <v>0</v>
      </c>
      <c r="I274" s="24">
        <v>4083068</v>
      </c>
      <c r="J274" s="24">
        <v>0</v>
      </c>
      <c r="K274" s="24">
        <v>0</v>
      </c>
      <c r="L274" s="24">
        <v>0</v>
      </c>
      <c r="M274" s="24">
        <v>4083068</v>
      </c>
      <c r="N274" s="35">
        <f t="shared" si="4"/>
        <v>4083068</v>
      </c>
    </row>
    <row r="275" spans="1:14" ht="18" x14ac:dyDescent="0.3">
      <c r="A275" s="34" t="s">
        <v>364</v>
      </c>
      <c r="B275" s="24">
        <v>0</v>
      </c>
      <c r="C275" s="24">
        <v>0</v>
      </c>
      <c r="D275" s="24">
        <v>0</v>
      </c>
      <c r="E275" s="24">
        <v>0</v>
      </c>
      <c r="F275" s="24">
        <v>0</v>
      </c>
      <c r="G275" s="24">
        <v>0</v>
      </c>
      <c r="H275" s="24">
        <v>0</v>
      </c>
      <c r="I275" s="24">
        <v>7355340</v>
      </c>
      <c r="J275" s="24">
        <v>0</v>
      </c>
      <c r="K275" s="24">
        <v>0</v>
      </c>
      <c r="L275" s="24">
        <v>0</v>
      </c>
      <c r="M275" s="24">
        <v>7355340</v>
      </c>
      <c r="N275" s="35">
        <f t="shared" si="4"/>
        <v>7355340</v>
      </c>
    </row>
    <row r="276" spans="1:14" ht="18" x14ac:dyDescent="0.3">
      <c r="A276" s="34" t="s">
        <v>365</v>
      </c>
      <c r="B276" s="24">
        <v>0</v>
      </c>
      <c r="C276" s="24">
        <v>0</v>
      </c>
      <c r="D276" s="24">
        <v>0</v>
      </c>
      <c r="E276" s="24">
        <v>0</v>
      </c>
      <c r="F276" s="24">
        <v>0</v>
      </c>
      <c r="G276" s="24">
        <v>0</v>
      </c>
      <c r="H276" s="24">
        <v>0</v>
      </c>
      <c r="I276" s="24">
        <v>3149685</v>
      </c>
      <c r="J276" s="24">
        <v>0</v>
      </c>
      <c r="K276" s="24">
        <v>0</v>
      </c>
      <c r="L276" s="24">
        <v>0</v>
      </c>
      <c r="M276" s="24">
        <v>3149685</v>
      </c>
      <c r="N276" s="35">
        <f t="shared" si="4"/>
        <v>3149685</v>
      </c>
    </row>
    <row r="277" spans="1:14" ht="18" x14ac:dyDescent="0.3">
      <c r="A277" s="34" t="s">
        <v>366</v>
      </c>
      <c r="B277" s="24">
        <v>0</v>
      </c>
      <c r="C277" s="24">
        <v>0</v>
      </c>
      <c r="D277" s="24">
        <v>0</v>
      </c>
      <c r="E277" s="24">
        <v>0</v>
      </c>
      <c r="F277" s="24">
        <v>0</v>
      </c>
      <c r="G277" s="24">
        <v>0</v>
      </c>
      <c r="H277" s="24">
        <v>0</v>
      </c>
      <c r="I277" s="24">
        <v>7783403</v>
      </c>
      <c r="J277" s="24">
        <v>0</v>
      </c>
      <c r="K277" s="24">
        <v>0</v>
      </c>
      <c r="L277" s="24">
        <v>0</v>
      </c>
      <c r="M277" s="24">
        <v>7783403</v>
      </c>
      <c r="N277" s="35">
        <f t="shared" si="4"/>
        <v>7783403</v>
      </c>
    </row>
    <row r="278" spans="1:14" ht="18" x14ac:dyDescent="0.3">
      <c r="A278" s="34" t="s">
        <v>367</v>
      </c>
      <c r="B278" s="24">
        <v>0</v>
      </c>
      <c r="C278" s="24">
        <v>0</v>
      </c>
      <c r="D278" s="24">
        <v>0</v>
      </c>
      <c r="E278" s="24">
        <v>0</v>
      </c>
      <c r="F278" s="24">
        <v>0</v>
      </c>
      <c r="G278" s="24">
        <v>0</v>
      </c>
      <c r="H278" s="24">
        <v>0</v>
      </c>
      <c r="I278" s="24">
        <v>3665389</v>
      </c>
      <c r="J278" s="24">
        <v>0</v>
      </c>
      <c r="K278" s="24">
        <v>0</v>
      </c>
      <c r="L278" s="24">
        <v>0</v>
      </c>
      <c r="M278" s="24">
        <v>3665389</v>
      </c>
      <c r="N278" s="35">
        <f t="shared" si="4"/>
        <v>3665389</v>
      </c>
    </row>
    <row r="279" spans="1:14" ht="18" x14ac:dyDescent="0.3">
      <c r="A279" s="34" t="s">
        <v>368</v>
      </c>
      <c r="B279" s="24">
        <v>0</v>
      </c>
      <c r="C279" s="24">
        <v>0</v>
      </c>
      <c r="D279" s="24">
        <v>0</v>
      </c>
      <c r="E279" s="24">
        <v>0</v>
      </c>
      <c r="F279" s="24">
        <v>0</v>
      </c>
      <c r="G279" s="24">
        <v>0</v>
      </c>
      <c r="H279" s="24">
        <v>0</v>
      </c>
      <c r="I279" s="24">
        <v>1472128</v>
      </c>
      <c r="J279" s="24">
        <v>0</v>
      </c>
      <c r="K279" s="24">
        <v>0</v>
      </c>
      <c r="L279" s="24">
        <v>0</v>
      </c>
      <c r="M279" s="24">
        <v>1472128</v>
      </c>
      <c r="N279" s="35">
        <f t="shared" si="4"/>
        <v>1472128</v>
      </c>
    </row>
    <row r="280" spans="1:14" ht="18" x14ac:dyDescent="0.3">
      <c r="A280" s="34" t="s">
        <v>369</v>
      </c>
      <c r="B280" s="24">
        <v>0</v>
      </c>
      <c r="C280" s="24">
        <v>0</v>
      </c>
      <c r="D280" s="24">
        <v>0</v>
      </c>
      <c r="E280" s="24">
        <v>0</v>
      </c>
      <c r="F280" s="24">
        <v>0</v>
      </c>
      <c r="G280" s="24">
        <v>0</v>
      </c>
      <c r="H280" s="24">
        <v>0</v>
      </c>
      <c r="I280" s="24">
        <v>5501238</v>
      </c>
      <c r="J280" s="24">
        <v>0</v>
      </c>
      <c r="K280" s="24">
        <v>0</v>
      </c>
      <c r="L280" s="24">
        <v>0</v>
      </c>
      <c r="M280" s="24">
        <v>5501238</v>
      </c>
      <c r="N280" s="35">
        <f t="shared" si="4"/>
        <v>5501238</v>
      </c>
    </row>
    <row r="281" spans="1:14" ht="18" x14ac:dyDescent="0.3">
      <c r="A281" s="34" t="s">
        <v>370</v>
      </c>
      <c r="B281" s="24">
        <v>0</v>
      </c>
      <c r="C281" s="24">
        <v>0</v>
      </c>
      <c r="D281" s="24">
        <v>0</v>
      </c>
      <c r="E281" s="24">
        <v>0</v>
      </c>
      <c r="F281" s="24">
        <v>0</v>
      </c>
      <c r="G281" s="24">
        <v>0</v>
      </c>
      <c r="H281" s="24">
        <v>0</v>
      </c>
      <c r="I281" s="24">
        <v>2023728</v>
      </c>
      <c r="J281" s="24">
        <v>0</v>
      </c>
      <c r="K281" s="24">
        <v>0</v>
      </c>
      <c r="L281" s="24">
        <v>0</v>
      </c>
      <c r="M281" s="24">
        <v>0</v>
      </c>
      <c r="N281" s="35">
        <f t="shared" si="4"/>
        <v>2023728</v>
      </c>
    </row>
    <row r="282" spans="1:14" ht="18" x14ac:dyDescent="0.3">
      <c r="A282" s="34" t="s">
        <v>371</v>
      </c>
      <c r="B282" s="24">
        <v>0</v>
      </c>
      <c r="C282" s="24">
        <v>0</v>
      </c>
      <c r="D282" s="24">
        <v>0</v>
      </c>
      <c r="E282" s="24">
        <v>0</v>
      </c>
      <c r="F282" s="24">
        <v>0</v>
      </c>
      <c r="G282" s="24">
        <v>0</v>
      </c>
      <c r="H282" s="24">
        <v>0</v>
      </c>
      <c r="I282" s="24">
        <v>6516559</v>
      </c>
      <c r="J282" s="24">
        <v>0</v>
      </c>
      <c r="K282" s="24">
        <v>0</v>
      </c>
      <c r="L282" s="24">
        <v>0</v>
      </c>
      <c r="M282" s="24">
        <v>0</v>
      </c>
      <c r="N282" s="35">
        <f t="shared" si="4"/>
        <v>6516559</v>
      </c>
    </row>
    <row r="283" spans="1:14" ht="18" x14ac:dyDescent="0.3">
      <c r="A283" s="34" t="s">
        <v>372</v>
      </c>
      <c r="B283" s="24">
        <v>0</v>
      </c>
      <c r="C283" s="24">
        <v>0</v>
      </c>
      <c r="D283" s="24">
        <v>0</v>
      </c>
      <c r="E283" s="24">
        <v>0</v>
      </c>
      <c r="F283" s="24">
        <v>0</v>
      </c>
      <c r="G283" s="24">
        <v>0</v>
      </c>
      <c r="H283" s="24">
        <v>0</v>
      </c>
      <c r="I283" s="24">
        <v>5645400</v>
      </c>
      <c r="J283" s="24">
        <v>0</v>
      </c>
      <c r="K283" s="24">
        <v>0</v>
      </c>
      <c r="L283" s="24">
        <v>0</v>
      </c>
      <c r="M283" s="24">
        <v>0</v>
      </c>
      <c r="N283" s="35">
        <f t="shared" si="4"/>
        <v>5645400</v>
      </c>
    </row>
    <row r="284" spans="1:14" ht="18" x14ac:dyDescent="0.3">
      <c r="A284" s="34" t="s">
        <v>373</v>
      </c>
      <c r="B284" s="24">
        <v>0</v>
      </c>
      <c r="C284" s="24">
        <v>0</v>
      </c>
      <c r="D284" s="24">
        <v>0</v>
      </c>
      <c r="E284" s="24">
        <v>0</v>
      </c>
      <c r="F284" s="24">
        <v>0</v>
      </c>
      <c r="G284" s="24">
        <v>0</v>
      </c>
      <c r="H284" s="24">
        <v>0</v>
      </c>
      <c r="I284" s="24">
        <v>4713390</v>
      </c>
      <c r="J284" s="24">
        <v>0</v>
      </c>
      <c r="K284" s="24">
        <v>0</v>
      </c>
      <c r="L284" s="24">
        <v>0</v>
      </c>
      <c r="M284" s="24">
        <v>0</v>
      </c>
      <c r="N284" s="35">
        <f t="shared" si="4"/>
        <v>4713390</v>
      </c>
    </row>
    <row r="285" spans="1:14" ht="18" x14ac:dyDescent="0.3">
      <c r="A285" s="34" t="s">
        <v>374</v>
      </c>
      <c r="B285" s="24">
        <v>0</v>
      </c>
      <c r="C285" s="24">
        <v>0</v>
      </c>
      <c r="D285" s="24">
        <v>0</v>
      </c>
      <c r="E285" s="24">
        <v>0</v>
      </c>
      <c r="F285" s="24">
        <v>0</v>
      </c>
      <c r="G285" s="24">
        <v>0</v>
      </c>
      <c r="H285" s="24">
        <v>0</v>
      </c>
      <c r="I285" s="24">
        <v>1891515</v>
      </c>
      <c r="J285" s="24">
        <v>0</v>
      </c>
      <c r="K285" s="24">
        <v>0</v>
      </c>
      <c r="L285" s="24">
        <v>0</v>
      </c>
      <c r="M285" s="24">
        <v>0</v>
      </c>
      <c r="N285" s="35">
        <f t="shared" si="4"/>
        <v>1891515</v>
      </c>
    </row>
    <row r="286" spans="1:14" ht="18" x14ac:dyDescent="0.3">
      <c r="A286" s="34" t="s">
        <v>375</v>
      </c>
      <c r="B286" s="24">
        <v>0</v>
      </c>
      <c r="C286" s="24">
        <v>0</v>
      </c>
      <c r="D286" s="24">
        <v>0</v>
      </c>
      <c r="E286" s="24">
        <v>0</v>
      </c>
      <c r="F286" s="24">
        <v>0</v>
      </c>
      <c r="G286" s="24">
        <v>0</v>
      </c>
      <c r="H286" s="24">
        <v>0</v>
      </c>
      <c r="I286" s="24">
        <v>4058496</v>
      </c>
      <c r="J286" s="24">
        <v>0</v>
      </c>
      <c r="K286" s="24">
        <v>0</v>
      </c>
      <c r="L286" s="24">
        <v>0</v>
      </c>
      <c r="M286" s="24">
        <v>0</v>
      </c>
      <c r="N286" s="35">
        <f t="shared" si="4"/>
        <v>4058496</v>
      </c>
    </row>
    <row r="287" spans="1:14" ht="18" x14ac:dyDescent="0.3">
      <c r="A287" s="34" t="s">
        <v>376</v>
      </c>
      <c r="B287" s="24">
        <v>0</v>
      </c>
      <c r="C287" s="24">
        <v>0</v>
      </c>
      <c r="D287" s="24">
        <v>0</v>
      </c>
      <c r="E287" s="24">
        <v>0</v>
      </c>
      <c r="F287" s="24">
        <v>0</v>
      </c>
      <c r="G287" s="24">
        <v>0</v>
      </c>
      <c r="H287" s="24">
        <v>0</v>
      </c>
      <c r="I287" s="24">
        <v>8662190</v>
      </c>
      <c r="J287" s="24">
        <v>0</v>
      </c>
      <c r="K287" s="24">
        <v>0</v>
      </c>
      <c r="L287" s="24">
        <v>0</v>
      </c>
      <c r="M287" s="24">
        <v>0</v>
      </c>
      <c r="N287" s="35">
        <f t="shared" si="4"/>
        <v>8662190</v>
      </c>
    </row>
    <row r="288" spans="1:14" ht="18" x14ac:dyDescent="0.3">
      <c r="A288" s="34" t="s">
        <v>377</v>
      </c>
      <c r="B288" s="24">
        <v>0</v>
      </c>
      <c r="C288" s="24">
        <v>0</v>
      </c>
      <c r="D288" s="24">
        <v>0</v>
      </c>
      <c r="E288" s="24">
        <v>0</v>
      </c>
      <c r="F288" s="24">
        <v>0</v>
      </c>
      <c r="G288" s="24">
        <v>0</v>
      </c>
      <c r="H288" s="24">
        <v>0</v>
      </c>
      <c r="I288" s="24">
        <v>4392796</v>
      </c>
      <c r="J288" s="24">
        <v>0</v>
      </c>
      <c r="K288" s="24">
        <v>0</v>
      </c>
      <c r="L288" s="24">
        <v>0</v>
      </c>
      <c r="M288" s="24">
        <v>0</v>
      </c>
      <c r="N288" s="35">
        <f t="shared" si="4"/>
        <v>4392796</v>
      </c>
    </row>
    <row r="289" spans="1:14" ht="18" x14ac:dyDescent="0.3">
      <c r="A289" s="34" t="s">
        <v>378</v>
      </c>
      <c r="B289" s="24">
        <v>0</v>
      </c>
      <c r="C289" s="24">
        <v>0</v>
      </c>
      <c r="D289" s="24">
        <v>0</v>
      </c>
      <c r="E289" s="24">
        <v>0</v>
      </c>
      <c r="F289" s="24">
        <v>0</v>
      </c>
      <c r="G289" s="24">
        <v>0</v>
      </c>
      <c r="H289" s="24">
        <v>0</v>
      </c>
      <c r="I289" s="24">
        <v>6510213</v>
      </c>
      <c r="J289" s="24">
        <v>0</v>
      </c>
      <c r="K289" s="24">
        <v>0</v>
      </c>
      <c r="L289" s="24">
        <v>0</v>
      </c>
      <c r="M289" s="24">
        <v>0</v>
      </c>
      <c r="N289" s="35">
        <f t="shared" si="4"/>
        <v>6510213</v>
      </c>
    </row>
    <row r="290" spans="1:14" ht="18" x14ac:dyDescent="0.3">
      <c r="A290" s="34" t="s">
        <v>379</v>
      </c>
      <c r="B290" s="24">
        <v>0</v>
      </c>
      <c r="C290" s="24">
        <v>0</v>
      </c>
      <c r="D290" s="24">
        <v>0</v>
      </c>
      <c r="E290" s="24">
        <v>0</v>
      </c>
      <c r="F290" s="24">
        <v>0</v>
      </c>
      <c r="G290" s="24">
        <v>0</v>
      </c>
      <c r="H290" s="24">
        <v>0</v>
      </c>
      <c r="I290" s="24">
        <v>1499740</v>
      </c>
      <c r="J290" s="24">
        <v>0</v>
      </c>
      <c r="K290" s="24">
        <v>0</v>
      </c>
      <c r="L290" s="24">
        <v>0</v>
      </c>
      <c r="M290" s="24">
        <v>0</v>
      </c>
      <c r="N290" s="35">
        <f t="shared" si="4"/>
        <v>1499740</v>
      </c>
    </row>
    <row r="291" spans="1:14" ht="18" x14ac:dyDescent="0.3">
      <c r="A291" s="34" t="s">
        <v>380</v>
      </c>
      <c r="B291" s="24">
        <v>0</v>
      </c>
      <c r="C291" s="24">
        <v>0</v>
      </c>
      <c r="D291" s="24">
        <v>0</v>
      </c>
      <c r="E291" s="24">
        <v>0</v>
      </c>
      <c r="F291" s="24">
        <v>0</v>
      </c>
      <c r="G291" s="24">
        <v>0</v>
      </c>
      <c r="H291" s="24">
        <v>0</v>
      </c>
      <c r="I291" s="24">
        <v>1802123</v>
      </c>
      <c r="J291" s="24">
        <v>0</v>
      </c>
      <c r="K291" s="24">
        <v>0</v>
      </c>
      <c r="L291" s="24">
        <v>0</v>
      </c>
      <c r="M291" s="24">
        <v>0</v>
      </c>
      <c r="N291" s="35">
        <f t="shared" si="4"/>
        <v>1802123</v>
      </c>
    </row>
    <row r="292" spans="1:14" ht="18" x14ac:dyDescent="0.3">
      <c r="A292" s="34" t="s">
        <v>381</v>
      </c>
      <c r="B292" s="24">
        <v>0</v>
      </c>
      <c r="C292" s="24">
        <v>0</v>
      </c>
      <c r="D292" s="24">
        <v>0</v>
      </c>
      <c r="E292" s="24">
        <v>0</v>
      </c>
      <c r="F292" s="24">
        <v>0</v>
      </c>
      <c r="G292" s="24">
        <v>0</v>
      </c>
      <c r="H292" s="24">
        <v>0</v>
      </c>
      <c r="I292" s="24">
        <v>6216651</v>
      </c>
      <c r="J292" s="24">
        <v>0</v>
      </c>
      <c r="K292" s="24">
        <v>0</v>
      </c>
      <c r="L292" s="24">
        <v>0</v>
      </c>
      <c r="M292" s="24">
        <v>0</v>
      </c>
      <c r="N292" s="35">
        <f t="shared" si="4"/>
        <v>6216651</v>
      </c>
    </row>
    <row r="293" spans="1:14" ht="18" x14ac:dyDescent="0.3">
      <c r="A293" s="34" t="s">
        <v>382</v>
      </c>
      <c r="B293" s="24">
        <v>0</v>
      </c>
      <c r="C293" s="24">
        <v>0</v>
      </c>
      <c r="D293" s="24">
        <v>0</v>
      </c>
      <c r="E293" s="24">
        <v>0</v>
      </c>
      <c r="F293" s="24">
        <v>0</v>
      </c>
      <c r="G293" s="24">
        <v>0</v>
      </c>
      <c r="H293" s="24">
        <v>0</v>
      </c>
      <c r="I293" s="24">
        <v>6400398</v>
      </c>
      <c r="J293" s="24">
        <v>0</v>
      </c>
      <c r="K293" s="24">
        <v>0</v>
      </c>
      <c r="L293" s="24">
        <v>0</v>
      </c>
      <c r="M293" s="24">
        <v>0</v>
      </c>
      <c r="N293" s="35">
        <f t="shared" si="4"/>
        <v>6400398</v>
      </c>
    </row>
    <row r="294" spans="1:14" ht="18" x14ac:dyDescent="0.3">
      <c r="A294" s="34" t="s">
        <v>383</v>
      </c>
      <c r="B294" s="24">
        <v>0</v>
      </c>
      <c r="C294" s="24">
        <v>0</v>
      </c>
      <c r="D294" s="24">
        <v>0</v>
      </c>
      <c r="E294" s="24">
        <v>0</v>
      </c>
      <c r="F294" s="24">
        <v>0</v>
      </c>
      <c r="G294" s="24">
        <v>0</v>
      </c>
      <c r="H294" s="24">
        <v>0</v>
      </c>
      <c r="I294" s="24">
        <v>4462157</v>
      </c>
      <c r="J294" s="24">
        <v>0</v>
      </c>
      <c r="K294" s="24">
        <v>0</v>
      </c>
      <c r="L294" s="24">
        <v>0</v>
      </c>
      <c r="M294" s="24">
        <v>0</v>
      </c>
      <c r="N294" s="35">
        <f t="shared" si="4"/>
        <v>4462157</v>
      </c>
    </row>
    <row r="295" spans="1:14" ht="18" x14ac:dyDescent="0.3">
      <c r="A295" s="34" t="s">
        <v>384</v>
      </c>
      <c r="B295" s="24">
        <v>0</v>
      </c>
      <c r="C295" s="24">
        <v>0</v>
      </c>
      <c r="D295" s="24">
        <v>0</v>
      </c>
      <c r="E295" s="24">
        <v>0</v>
      </c>
      <c r="F295" s="24">
        <v>0</v>
      </c>
      <c r="G295" s="24">
        <v>0</v>
      </c>
      <c r="H295" s="24">
        <v>0</v>
      </c>
      <c r="I295" s="24">
        <v>2542512</v>
      </c>
      <c r="J295" s="24">
        <v>0</v>
      </c>
      <c r="K295" s="24">
        <v>0</v>
      </c>
      <c r="L295" s="24">
        <v>0</v>
      </c>
      <c r="M295" s="24">
        <v>0</v>
      </c>
      <c r="N295" s="35">
        <f t="shared" si="4"/>
        <v>2542512</v>
      </c>
    </row>
    <row r="296" spans="1:14" ht="18" x14ac:dyDescent="0.3">
      <c r="A296" s="34" t="s">
        <v>385</v>
      </c>
      <c r="B296" s="24">
        <v>0</v>
      </c>
      <c r="C296" s="24">
        <v>0</v>
      </c>
      <c r="D296" s="24">
        <v>0</v>
      </c>
      <c r="E296" s="24">
        <v>0</v>
      </c>
      <c r="F296" s="24">
        <v>0</v>
      </c>
      <c r="G296" s="24">
        <v>0</v>
      </c>
      <c r="H296" s="24">
        <v>0</v>
      </c>
      <c r="I296" s="24">
        <v>0</v>
      </c>
      <c r="J296" s="24">
        <v>6803520</v>
      </c>
      <c r="K296" s="24">
        <v>0</v>
      </c>
      <c r="L296" s="24">
        <v>0</v>
      </c>
      <c r="M296" s="24">
        <v>0</v>
      </c>
      <c r="N296" s="35">
        <f t="shared" si="4"/>
        <v>6803520</v>
      </c>
    </row>
    <row r="297" spans="1:14" ht="18" x14ac:dyDescent="0.3">
      <c r="A297" s="34" t="s">
        <v>386</v>
      </c>
      <c r="B297" s="24">
        <v>0</v>
      </c>
      <c r="C297" s="24">
        <v>0</v>
      </c>
      <c r="D297" s="24">
        <v>0</v>
      </c>
      <c r="E297" s="24">
        <v>0</v>
      </c>
      <c r="F297" s="24">
        <v>0</v>
      </c>
      <c r="G297" s="24">
        <v>0</v>
      </c>
      <c r="H297" s="24">
        <v>0</v>
      </c>
      <c r="I297" s="24">
        <v>0</v>
      </c>
      <c r="J297" s="24">
        <v>3585208</v>
      </c>
      <c r="K297" s="24">
        <v>0</v>
      </c>
      <c r="L297" s="24">
        <v>0</v>
      </c>
      <c r="M297" s="24">
        <v>0</v>
      </c>
      <c r="N297" s="35">
        <f t="shared" si="4"/>
        <v>3585208</v>
      </c>
    </row>
    <row r="298" spans="1:14" ht="18" x14ac:dyDescent="0.3">
      <c r="A298" s="34" t="s">
        <v>387</v>
      </c>
      <c r="B298" s="24">
        <v>0</v>
      </c>
      <c r="C298" s="24">
        <v>0</v>
      </c>
      <c r="D298" s="24">
        <v>0</v>
      </c>
      <c r="E298" s="24">
        <v>0</v>
      </c>
      <c r="F298" s="24">
        <v>0</v>
      </c>
      <c r="G298" s="24">
        <v>0</v>
      </c>
      <c r="H298" s="24">
        <v>0</v>
      </c>
      <c r="I298" s="24">
        <v>0</v>
      </c>
      <c r="J298" s="24">
        <v>6159346</v>
      </c>
      <c r="K298" s="24">
        <v>0</v>
      </c>
      <c r="L298" s="24">
        <v>0</v>
      </c>
      <c r="M298" s="24">
        <v>0</v>
      </c>
      <c r="N298" s="35">
        <f t="shared" si="4"/>
        <v>6159346</v>
      </c>
    </row>
    <row r="299" spans="1:14" ht="18" x14ac:dyDescent="0.3">
      <c r="A299" s="34" t="s">
        <v>388</v>
      </c>
      <c r="B299" s="24">
        <v>0</v>
      </c>
      <c r="C299" s="24">
        <v>0</v>
      </c>
      <c r="D299" s="24">
        <v>0</v>
      </c>
      <c r="E299" s="24">
        <v>0</v>
      </c>
      <c r="F299" s="24">
        <v>0</v>
      </c>
      <c r="G299" s="24">
        <v>0</v>
      </c>
      <c r="H299" s="24">
        <v>0</v>
      </c>
      <c r="I299" s="24">
        <v>0</v>
      </c>
      <c r="J299" s="24">
        <v>2738122</v>
      </c>
      <c r="K299" s="24">
        <v>0</v>
      </c>
      <c r="L299" s="24">
        <v>0</v>
      </c>
      <c r="M299" s="24">
        <v>0</v>
      </c>
      <c r="N299" s="35">
        <f t="shared" si="4"/>
        <v>2738122</v>
      </c>
    </row>
    <row r="300" spans="1:14" ht="18" x14ac:dyDescent="0.3">
      <c r="A300" s="34" t="s">
        <v>389</v>
      </c>
      <c r="B300" s="24">
        <v>0</v>
      </c>
      <c r="C300" s="24">
        <v>0</v>
      </c>
      <c r="D300" s="24">
        <v>0</v>
      </c>
      <c r="E300" s="24">
        <v>0</v>
      </c>
      <c r="F300" s="24">
        <v>0</v>
      </c>
      <c r="G300" s="24">
        <v>0</v>
      </c>
      <c r="H300" s="24">
        <v>0</v>
      </c>
      <c r="I300" s="24">
        <v>0</v>
      </c>
      <c r="J300" s="24">
        <v>8545086</v>
      </c>
      <c r="K300" s="24">
        <v>0</v>
      </c>
      <c r="L300" s="24">
        <v>0</v>
      </c>
      <c r="M300" s="24">
        <v>0</v>
      </c>
      <c r="N300" s="35">
        <f t="shared" si="4"/>
        <v>8545086</v>
      </c>
    </row>
    <row r="301" spans="1:14" ht="18" x14ac:dyDescent="0.3">
      <c r="A301" s="34" t="s">
        <v>390</v>
      </c>
      <c r="B301" s="24">
        <v>0</v>
      </c>
      <c r="C301" s="24">
        <v>0</v>
      </c>
      <c r="D301" s="24">
        <v>0</v>
      </c>
      <c r="E301" s="24">
        <v>0</v>
      </c>
      <c r="F301" s="24">
        <v>0</v>
      </c>
      <c r="G301" s="24">
        <v>0</v>
      </c>
      <c r="H301" s="24">
        <v>0</v>
      </c>
      <c r="I301" s="24">
        <v>0</v>
      </c>
      <c r="J301" s="24">
        <v>5095535</v>
      </c>
      <c r="K301" s="24">
        <v>0</v>
      </c>
      <c r="L301" s="24">
        <v>0</v>
      </c>
      <c r="M301" s="24">
        <v>0</v>
      </c>
      <c r="N301" s="35">
        <f t="shared" si="4"/>
        <v>5095535</v>
      </c>
    </row>
    <row r="302" spans="1:14" ht="18" x14ac:dyDescent="0.3">
      <c r="A302" s="34" t="s">
        <v>391</v>
      </c>
      <c r="B302" s="24">
        <v>0</v>
      </c>
      <c r="C302" s="24">
        <v>0</v>
      </c>
      <c r="D302" s="24">
        <v>0</v>
      </c>
      <c r="E302" s="24">
        <v>0</v>
      </c>
      <c r="F302" s="24">
        <v>0</v>
      </c>
      <c r="G302" s="24">
        <v>0</v>
      </c>
      <c r="H302" s="24">
        <v>0</v>
      </c>
      <c r="I302" s="24">
        <v>0</v>
      </c>
      <c r="J302" s="24">
        <v>1283040</v>
      </c>
      <c r="K302" s="24">
        <v>0</v>
      </c>
      <c r="L302" s="24">
        <v>0</v>
      </c>
      <c r="M302" s="24">
        <v>0</v>
      </c>
      <c r="N302" s="35">
        <f t="shared" si="4"/>
        <v>1283040</v>
      </c>
    </row>
    <row r="303" spans="1:14" ht="18" x14ac:dyDescent="0.3">
      <c r="A303" s="34" t="s">
        <v>392</v>
      </c>
      <c r="B303" s="24">
        <v>0</v>
      </c>
      <c r="C303" s="24">
        <v>0</v>
      </c>
      <c r="D303" s="24">
        <v>0</v>
      </c>
      <c r="E303" s="24">
        <v>0</v>
      </c>
      <c r="F303" s="24">
        <v>0</v>
      </c>
      <c r="G303" s="24">
        <v>0</v>
      </c>
      <c r="H303" s="24">
        <v>0</v>
      </c>
      <c r="I303" s="24">
        <v>0</v>
      </c>
      <c r="J303" s="24">
        <v>4926420</v>
      </c>
      <c r="K303" s="24">
        <v>0</v>
      </c>
      <c r="L303" s="24">
        <v>0</v>
      </c>
      <c r="M303" s="24">
        <v>0</v>
      </c>
      <c r="N303" s="35">
        <f t="shared" si="4"/>
        <v>4926420</v>
      </c>
    </row>
    <row r="304" spans="1:14" ht="18" x14ac:dyDescent="0.3">
      <c r="A304" s="34" t="s">
        <v>393</v>
      </c>
      <c r="B304" s="24">
        <v>0</v>
      </c>
      <c r="C304" s="24">
        <v>0</v>
      </c>
      <c r="D304" s="24">
        <v>0</v>
      </c>
      <c r="E304" s="24">
        <v>0</v>
      </c>
      <c r="F304" s="24">
        <v>0</v>
      </c>
      <c r="G304" s="24">
        <v>0</v>
      </c>
      <c r="H304" s="24">
        <v>0</v>
      </c>
      <c r="I304" s="24">
        <v>0</v>
      </c>
      <c r="J304" s="24">
        <v>5093820</v>
      </c>
      <c r="K304" s="24">
        <v>0</v>
      </c>
      <c r="L304" s="24">
        <v>0</v>
      </c>
      <c r="M304" s="24">
        <v>0</v>
      </c>
      <c r="N304" s="35">
        <f t="shared" si="4"/>
        <v>5093820</v>
      </c>
    </row>
    <row r="305" spans="1:14" ht="18" x14ac:dyDescent="0.3">
      <c r="A305" s="34" t="s">
        <v>394</v>
      </c>
      <c r="B305" s="24">
        <v>0</v>
      </c>
      <c r="C305" s="24">
        <v>0</v>
      </c>
      <c r="D305" s="24">
        <v>0</v>
      </c>
      <c r="E305" s="24">
        <v>0</v>
      </c>
      <c r="F305" s="24">
        <v>0</v>
      </c>
      <c r="G305" s="24">
        <v>0</v>
      </c>
      <c r="H305" s="24">
        <v>0</v>
      </c>
      <c r="I305" s="24">
        <v>0</v>
      </c>
      <c r="J305" s="24">
        <v>5399177</v>
      </c>
      <c r="K305" s="24">
        <v>0</v>
      </c>
      <c r="L305" s="24">
        <v>0</v>
      </c>
      <c r="M305" s="24">
        <v>0</v>
      </c>
      <c r="N305" s="35">
        <f t="shared" si="4"/>
        <v>5399177</v>
      </c>
    </row>
    <row r="306" spans="1:14" ht="18" x14ac:dyDescent="0.3">
      <c r="A306" s="34" t="s">
        <v>395</v>
      </c>
      <c r="B306" s="24">
        <v>0</v>
      </c>
      <c r="C306" s="24">
        <v>0</v>
      </c>
      <c r="D306" s="24">
        <v>0</v>
      </c>
      <c r="E306" s="24">
        <v>0</v>
      </c>
      <c r="F306" s="24">
        <v>0</v>
      </c>
      <c r="G306" s="24">
        <v>0</v>
      </c>
      <c r="H306" s="24">
        <v>0</v>
      </c>
      <c r="I306" s="24">
        <v>0</v>
      </c>
      <c r="J306" s="24">
        <v>1998444</v>
      </c>
      <c r="K306" s="24">
        <v>0</v>
      </c>
      <c r="L306" s="24">
        <v>0</v>
      </c>
      <c r="M306" s="24">
        <v>0</v>
      </c>
      <c r="N306" s="35">
        <f t="shared" si="4"/>
        <v>1998444</v>
      </c>
    </row>
    <row r="307" spans="1:14" ht="18" x14ac:dyDescent="0.3">
      <c r="A307" s="34" t="s">
        <v>396</v>
      </c>
      <c r="B307" s="24">
        <v>0</v>
      </c>
      <c r="C307" s="24">
        <v>0</v>
      </c>
      <c r="D307" s="24">
        <v>0</v>
      </c>
      <c r="E307" s="24">
        <v>0</v>
      </c>
      <c r="F307" s="24">
        <v>0</v>
      </c>
      <c r="G307" s="24">
        <v>0</v>
      </c>
      <c r="H307" s="24">
        <v>0</v>
      </c>
      <c r="I307" s="24">
        <v>0</v>
      </c>
      <c r="J307" s="24">
        <v>3945651</v>
      </c>
      <c r="K307" s="24">
        <v>0</v>
      </c>
      <c r="L307" s="24">
        <v>0</v>
      </c>
      <c r="M307" s="24">
        <v>0</v>
      </c>
      <c r="N307" s="35">
        <f t="shared" si="4"/>
        <v>3945651</v>
      </c>
    </row>
    <row r="308" spans="1:14" ht="18" x14ac:dyDescent="0.3">
      <c r="A308" s="34" t="s">
        <v>397</v>
      </c>
      <c r="B308" s="24">
        <v>0</v>
      </c>
      <c r="C308" s="24">
        <v>0</v>
      </c>
      <c r="D308" s="24">
        <v>0</v>
      </c>
      <c r="E308" s="24">
        <v>0</v>
      </c>
      <c r="F308" s="24">
        <v>0</v>
      </c>
      <c r="G308" s="24">
        <v>0</v>
      </c>
      <c r="H308" s="24">
        <v>0</v>
      </c>
      <c r="I308" s="24">
        <v>0</v>
      </c>
      <c r="J308" s="24">
        <v>5484132</v>
      </c>
      <c r="K308" s="24">
        <v>0</v>
      </c>
      <c r="L308" s="24">
        <v>0</v>
      </c>
      <c r="M308" s="24">
        <v>0</v>
      </c>
      <c r="N308" s="35">
        <f t="shared" si="4"/>
        <v>5484132</v>
      </c>
    </row>
    <row r="309" spans="1:14" ht="18" x14ac:dyDescent="0.3">
      <c r="A309" s="34" t="s">
        <v>398</v>
      </c>
      <c r="B309" s="24">
        <v>0</v>
      </c>
      <c r="C309" s="24">
        <v>0</v>
      </c>
      <c r="D309" s="24">
        <v>0</v>
      </c>
      <c r="E309" s="24">
        <v>0</v>
      </c>
      <c r="F309" s="24">
        <v>0</v>
      </c>
      <c r="G309" s="24">
        <v>0</v>
      </c>
      <c r="H309" s="24">
        <v>0</v>
      </c>
      <c r="I309" s="24">
        <v>0</v>
      </c>
      <c r="J309" s="24">
        <v>3140415</v>
      </c>
      <c r="K309" s="24">
        <v>0</v>
      </c>
      <c r="L309" s="24">
        <v>0</v>
      </c>
      <c r="M309" s="24">
        <v>0</v>
      </c>
      <c r="N309" s="35">
        <f t="shared" si="4"/>
        <v>3140415</v>
      </c>
    </row>
    <row r="310" spans="1:14" ht="18" x14ac:dyDescent="0.3">
      <c r="A310" s="34" t="s">
        <v>399</v>
      </c>
      <c r="B310" s="24">
        <v>0</v>
      </c>
      <c r="C310" s="24">
        <v>0</v>
      </c>
      <c r="D310" s="24">
        <v>0</v>
      </c>
      <c r="E310" s="24">
        <v>0</v>
      </c>
      <c r="F310" s="24">
        <v>0</v>
      </c>
      <c r="G310" s="24">
        <v>0</v>
      </c>
      <c r="H310" s="24">
        <v>0</v>
      </c>
      <c r="I310" s="24">
        <v>0</v>
      </c>
      <c r="J310" s="24">
        <v>1256384</v>
      </c>
      <c r="K310" s="24">
        <v>0</v>
      </c>
      <c r="L310" s="24">
        <v>0</v>
      </c>
      <c r="M310" s="24">
        <v>0</v>
      </c>
      <c r="N310" s="35">
        <f t="shared" si="4"/>
        <v>1256384</v>
      </c>
    </row>
    <row r="311" spans="1:14" ht="18" x14ac:dyDescent="0.3">
      <c r="A311" s="34" t="s">
        <v>400</v>
      </c>
      <c r="B311" s="24">
        <v>0</v>
      </c>
      <c r="C311" s="24">
        <v>0</v>
      </c>
      <c r="D311" s="24">
        <v>0</v>
      </c>
      <c r="E311" s="24">
        <v>0</v>
      </c>
      <c r="F311" s="24">
        <v>0</v>
      </c>
      <c r="G311" s="24">
        <v>0</v>
      </c>
      <c r="H311" s="24">
        <v>0</v>
      </c>
      <c r="I311" s="24">
        <v>0</v>
      </c>
      <c r="J311" s="24">
        <v>3390120</v>
      </c>
      <c r="K311" s="24">
        <v>0</v>
      </c>
      <c r="L311" s="24">
        <v>0</v>
      </c>
      <c r="M311" s="24">
        <v>0</v>
      </c>
      <c r="N311" s="35">
        <f t="shared" si="4"/>
        <v>3390120</v>
      </c>
    </row>
    <row r="312" spans="1:14" ht="18" x14ac:dyDescent="0.3">
      <c r="A312" s="34" t="s">
        <v>401</v>
      </c>
      <c r="B312" s="24">
        <v>0</v>
      </c>
      <c r="C312" s="24">
        <v>0</v>
      </c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6444114</v>
      </c>
      <c r="K312" s="24">
        <v>0</v>
      </c>
      <c r="L312" s="24">
        <v>0</v>
      </c>
      <c r="M312" s="24">
        <v>0</v>
      </c>
      <c r="N312" s="35">
        <f t="shared" si="4"/>
        <v>6444114</v>
      </c>
    </row>
    <row r="313" spans="1:14" ht="18" x14ac:dyDescent="0.3">
      <c r="A313" s="34" t="s">
        <v>402</v>
      </c>
      <c r="B313" s="24">
        <v>0</v>
      </c>
      <c r="C313" s="24">
        <v>0</v>
      </c>
      <c r="D313" s="24">
        <v>0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24">
        <v>1889280</v>
      </c>
      <c r="K313" s="24">
        <v>0</v>
      </c>
      <c r="L313" s="24">
        <v>0</v>
      </c>
      <c r="M313" s="24">
        <v>0</v>
      </c>
      <c r="N313" s="35">
        <f t="shared" si="4"/>
        <v>1889280</v>
      </c>
    </row>
    <row r="314" spans="1:14" ht="18" x14ac:dyDescent="0.3">
      <c r="A314" s="34" t="s">
        <v>403</v>
      </c>
      <c r="B314" s="24">
        <v>0</v>
      </c>
      <c r="C314" s="24">
        <v>0</v>
      </c>
      <c r="D314" s="24">
        <v>0</v>
      </c>
      <c r="E314" s="24">
        <v>0</v>
      </c>
      <c r="F314" s="24">
        <v>0</v>
      </c>
      <c r="G314" s="24">
        <v>0</v>
      </c>
      <c r="H314" s="24">
        <v>0</v>
      </c>
      <c r="I314" s="24">
        <v>0</v>
      </c>
      <c r="J314" s="24">
        <v>3403326</v>
      </c>
      <c r="K314" s="24">
        <v>0</v>
      </c>
      <c r="L314" s="24">
        <v>0</v>
      </c>
      <c r="M314" s="24">
        <v>0</v>
      </c>
      <c r="N314" s="35">
        <f t="shared" si="4"/>
        <v>3403326</v>
      </c>
    </row>
    <row r="315" spans="1:14" ht="18" x14ac:dyDescent="0.3">
      <c r="A315" s="34" t="s">
        <v>404</v>
      </c>
      <c r="B315" s="24">
        <v>0</v>
      </c>
      <c r="C315" s="24">
        <v>0</v>
      </c>
      <c r="D315" s="24">
        <v>0</v>
      </c>
      <c r="E315" s="24">
        <v>0</v>
      </c>
      <c r="F315" s="24">
        <v>0</v>
      </c>
      <c r="G315" s="24">
        <v>0</v>
      </c>
      <c r="H315" s="24">
        <v>0</v>
      </c>
      <c r="I315" s="24">
        <v>0</v>
      </c>
      <c r="J315" s="24">
        <v>7445810</v>
      </c>
      <c r="K315" s="24">
        <v>0</v>
      </c>
      <c r="L315" s="24">
        <v>0</v>
      </c>
      <c r="M315" s="24">
        <v>0</v>
      </c>
      <c r="N315" s="35">
        <f t="shared" si="4"/>
        <v>7445810</v>
      </c>
    </row>
    <row r="316" spans="1:14" ht="18" x14ac:dyDescent="0.3">
      <c r="A316" s="34" t="s">
        <v>405</v>
      </c>
      <c r="B316" s="24">
        <v>0</v>
      </c>
      <c r="C316" s="24">
        <v>0</v>
      </c>
      <c r="D316" s="24">
        <v>0</v>
      </c>
      <c r="E316" s="24">
        <v>0</v>
      </c>
      <c r="F316" s="24">
        <v>0</v>
      </c>
      <c r="G316" s="24">
        <v>0</v>
      </c>
      <c r="H316" s="24">
        <v>0</v>
      </c>
      <c r="I316" s="24">
        <v>0</v>
      </c>
      <c r="J316" s="24">
        <v>8036326</v>
      </c>
      <c r="K316" s="24">
        <v>0</v>
      </c>
      <c r="L316" s="24">
        <v>0</v>
      </c>
      <c r="M316" s="24">
        <v>0</v>
      </c>
      <c r="N316" s="35">
        <f t="shared" si="4"/>
        <v>8036326</v>
      </c>
    </row>
    <row r="317" spans="1:14" ht="18" x14ac:dyDescent="0.3">
      <c r="A317" s="34" t="s">
        <v>406</v>
      </c>
      <c r="B317" s="24">
        <v>0</v>
      </c>
      <c r="C317" s="24">
        <v>0</v>
      </c>
      <c r="D317" s="24">
        <v>0</v>
      </c>
      <c r="E317" s="24">
        <v>0</v>
      </c>
      <c r="F317" s="24">
        <v>0</v>
      </c>
      <c r="G317" s="24">
        <v>0</v>
      </c>
      <c r="H317" s="24">
        <v>0</v>
      </c>
      <c r="I317" s="24">
        <v>0</v>
      </c>
      <c r="J317" s="24">
        <v>6268499</v>
      </c>
      <c r="K317" s="24">
        <v>0</v>
      </c>
      <c r="L317" s="24">
        <v>0</v>
      </c>
      <c r="M317" s="24">
        <v>0</v>
      </c>
      <c r="N317" s="35">
        <f t="shared" si="4"/>
        <v>6268499</v>
      </c>
    </row>
    <row r="318" spans="1:14" ht="18" x14ac:dyDescent="0.3">
      <c r="A318" s="34" t="s">
        <v>407</v>
      </c>
      <c r="B318" s="24">
        <v>0</v>
      </c>
      <c r="C318" s="24">
        <v>0</v>
      </c>
      <c r="D318" s="24">
        <v>0</v>
      </c>
      <c r="E318" s="24">
        <v>0</v>
      </c>
      <c r="F318" s="24">
        <v>0</v>
      </c>
      <c r="G318" s="24">
        <v>0</v>
      </c>
      <c r="H318" s="24">
        <v>0</v>
      </c>
      <c r="I318" s="24">
        <v>0</v>
      </c>
      <c r="J318" s="24">
        <v>5701962</v>
      </c>
      <c r="K318" s="24">
        <v>0</v>
      </c>
      <c r="L318" s="24">
        <v>0</v>
      </c>
      <c r="M318" s="24">
        <v>0</v>
      </c>
      <c r="N318" s="35">
        <f t="shared" si="4"/>
        <v>5701962</v>
      </c>
    </row>
    <row r="319" spans="1:14" ht="18" x14ac:dyDescent="0.3">
      <c r="A319" s="34" t="s">
        <v>408</v>
      </c>
      <c r="B319" s="24">
        <v>0</v>
      </c>
      <c r="C319" s="24">
        <v>0</v>
      </c>
      <c r="D319" s="24">
        <v>0</v>
      </c>
      <c r="E319" s="24">
        <v>0</v>
      </c>
      <c r="F319" s="24">
        <v>0</v>
      </c>
      <c r="G319" s="24">
        <v>0</v>
      </c>
      <c r="H319" s="24">
        <v>0</v>
      </c>
      <c r="I319" s="24">
        <v>0</v>
      </c>
      <c r="J319" s="24">
        <v>5302275</v>
      </c>
      <c r="K319" s="24">
        <v>0</v>
      </c>
      <c r="L319" s="24">
        <v>0</v>
      </c>
      <c r="M319" s="24">
        <v>0</v>
      </c>
      <c r="N319" s="35">
        <f t="shared" si="4"/>
        <v>5302275</v>
      </c>
    </row>
    <row r="320" spans="1:14" ht="18" x14ac:dyDescent="0.3">
      <c r="A320" s="34" t="s">
        <v>409</v>
      </c>
      <c r="B320" s="24">
        <v>0</v>
      </c>
      <c r="C320" s="24">
        <v>0</v>
      </c>
      <c r="D320" s="24">
        <v>0</v>
      </c>
      <c r="E320" s="24">
        <v>0</v>
      </c>
      <c r="F320" s="24">
        <v>0</v>
      </c>
      <c r="G320" s="24">
        <v>0</v>
      </c>
      <c r="H320" s="24">
        <v>0</v>
      </c>
      <c r="I320" s="24">
        <v>0</v>
      </c>
      <c r="J320" s="24">
        <v>5224190</v>
      </c>
      <c r="K320" s="24">
        <v>0</v>
      </c>
      <c r="L320" s="24">
        <v>0</v>
      </c>
      <c r="M320" s="24">
        <v>0</v>
      </c>
      <c r="N320" s="35">
        <f t="shared" si="4"/>
        <v>5224190</v>
      </c>
    </row>
    <row r="321" spans="1:14" ht="18" x14ac:dyDescent="0.3">
      <c r="A321" s="34" t="s">
        <v>410</v>
      </c>
      <c r="B321" s="24">
        <v>0</v>
      </c>
      <c r="C321" s="24">
        <v>0</v>
      </c>
      <c r="D321" s="24">
        <v>0</v>
      </c>
      <c r="E321" s="24">
        <v>0</v>
      </c>
      <c r="F321" s="24">
        <v>0</v>
      </c>
      <c r="G321" s="24">
        <v>0</v>
      </c>
      <c r="H321" s="24">
        <v>0</v>
      </c>
      <c r="I321" s="24">
        <v>0</v>
      </c>
      <c r="J321" s="24">
        <v>2695488</v>
      </c>
      <c r="K321" s="24">
        <v>0</v>
      </c>
      <c r="L321" s="24">
        <v>0</v>
      </c>
      <c r="M321" s="24">
        <v>0</v>
      </c>
      <c r="N321" s="35">
        <f t="shared" si="4"/>
        <v>2695488</v>
      </c>
    </row>
    <row r="322" spans="1:14" ht="18" x14ac:dyDescent="0.3">
      <c r="A322" s="34" t="s">
        <v>411</v>
      </c>
      <c r="B322" s="24">
        <v>0</v>
      </c>
      <c r="C322" s="24">
        <v>0</v>
      </c>
      <c r="D322" s="24">
        <v>0</v>
      </c>
      <c r="E322" s="24">
        <v>0</v>
      </c>
      <c r="F322" s="24">
        <v>0</v>
      </c>
      <c r="G322" s="24">
        <v>0</v>
      </c>
      <c r="H322" s="24">
        <v>0</v>
      </c>
      <c r="I322" s="24">
        <v>0</v>
      </c>
      <c r="J322" s="24">
        <v>5145410</v>
      </c>
      <c r="K322" s="24">
        <v>0</v>
      </c>
      <c r="L322" s="24">
        <v>0</v>
      </c>
      <c r="M322" s="24">
        <v>0</v>
      </c>
      <c r="N322" s="35">
        <f t="shared" si="4"/>
        <v>5145410</v>
      </c>
    </row>
    <row r="323" spans="1:14" ht="18" x14ac:dyDescent="0.3">
      <c r="A323" s="34" t="s">
        <v>412</v>
      </c>
      <c r="B323" s="24">
        <v>0</v>
      </c>
      <c r="C323" s="24">
        <v>0</v>
      </c>
      <c r="D323" s="24">
        <v>0</v>
      </c>
      <c r="E323" s="24">
        <v>0</v>
      </c>
      <c r="F323" s="24">
        <v>0</v>
      </c>
      <c r="G323" s="24">
        <v>0</v>
      </c>
      <c r="H323" s="24">
        <v>0</v>
      </c>
      <c r="I323" s="24">
        <v>0</v>
      </c>
      <c r="J323" s="24">
        <v>6053400</v>
      </c>
      <c r="K323" s="24">
        <v>0</v>
      </c>
      <c r="L323" s="24">
        <v>0</v>
      </c>
      <c r="M323" s="24">
        <v>0</v>
      </c>
      <c r="N323" s="35">
        <f t="shared" ref="N323:N325" si="5">SUM($B323:$L323)</f>
        <v>6053400</v>
      </c>
    </row>
    <row r="324" spans="1:14" ht="18" x14ac:dyDescent="0.3">
      <c r="A324" s="34" t="s">
        <v>413</v>
      </c>
      <c r="B324" s="24">
        <v>0</v>
      </c>
      <c r="C324" s="24">
        <v>0</v>
      </c>
      <c r="D324" s="24">
        <v>0</v>
      </c>
      <c r="E324" s="24">
        <v>0</v>
      </c>
      <c r="F324" s="24">
        <v>0</v>
      </c>
      <c r="G324" s="24">
        <v>0</v>
      </c>
      <c r="H324" s="24">
        <v>0</v>
      </c>
      <c r="I324" s="24">
        <v>0</v>
      </c>
      <c r="J324" s="24">
        <v>4156466</v>
      </c>
      <c r="K324" s="24">
        <v>0</v>
      </c>
      <c r="L324" s="24">
        <v>0</v>
      </c>
      <c r="M324" s="24">
        <v>0</v>
      </c>
      <c r="N324" s="35">
        <f t="shared" si="5"/>
        <v>4156466</v>
      </c>
    </row>
    <row r="325" spans="1:14" ht="18.600000000000001" thickBot="1" x14ac:dyDescent="0.35">
      <c r="A325" s="36" t="s">
        <v>414</v>
      </c>
      <c r="B325" s="37">
        <v>0</v>
      </c>
      <c r="C325" s="37">
        <v>0</v>
      </c>
      <c r="D325" s="37">
        <v>0</v>
      </c>
      <c r="E325" s="37">
        <v>0</v>
      </c>
      <c r="F325" s="37">
        <v>0</v>
      </c>
      <c r="G325" s="37">
        <v>0</v>
      </c>
      <c r="H325" s="37">
        <v>0</v>
      </c>
      <c r="I325" s="37">
        <v>0</v>
      </c>
      <c r="J325" s="37">
        <v>3425638</v>
      </c>
      <c r="K325" s="37">
        <v>0</v>
      </c>
      <c r="L325" s="37">
        <v>0</v>
      </c>
      <c r="M325" s="37">
        <v>0</v>
      </c>
      <c r="N325" s="35">
        <f t="shared" si="5"/>
        <v>3425638</v>
      </c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C00C-1B07-47A7-AD82-108D2C8B73CB}">
  <dimension ref="A2:I24"/>
  <sheetViews>
    <sheetView topLeftCell="A3" workbookViewId="0">
      <selection activeCell="C6" sqref="C6"/>
    </sheetView>
  </sheetViews>
  <sheetFormatPr defaultRowHeight="14.4" x14ac:dyDescent="0.3"/>
  <cols>
    <col min="2" max="2" width="21.6640625" bestFit="1" customWidth="1"/>
    <col min="3" max="3" width="14.109375" customWidth="1"/>
    <col min="4" max="4" width="13.77734375" customWidth="1"/>
    <col min="8" max="8" width="21.6640625" bestFit="1" customWidth="1"/>
    <col min="9" max="9" width="48.6640625" customWidth="1"/>
  </cols>
  <sheetData>
    <row r="2" spans="1:9" ht="18" x14ac:dyDescent="0.35">
      <c r="B2" s="61" t="s">
        <v>440</v>
      </c>
      <c r="C2" s="62"/>
      <c r="D2" s="62"/>
      <c r="E2" s="62"/>
      <c r="F2" s="62"/>
      <c r="G2" s="62"/>
      <c r="H2" s="62"/>
      <c r="I2" s="62"/>
    </row>
    <row r="4" spans="1:9" ht="18" x14ac:dyDescent="0.35">
      <c r="B4" s="22" t="s">
        <v>436</v>
      </c>
      <c r="C4" s="22" t="s">
        <v>437</v>
      </c>
      <c r="D4" s="22" t="s">
        <v>438</v>
      </c>
      <c r="H4" s="23" t="s">
        <v>436</v>
      </c>
      <c r="I4" s="23" t="s">
        <v>439</v>
      </c>
    </row>
    <row r="5" spans="1:9" s="24" customFormat="1" ht="18" x14ac:dyDescent="0.3">
      <c r="A5"/>
      <c r="B5" s="24" t="s">
        <v>441</v>
      </c>
      <c r="C5" s="24" t="s">
        <v>473</v>
      </c>
      <c r="D5" s="24" t="s">
        <v>492</v>
      </c>
      <c r="H5" s="24" t="s">
        <v>441</v>
      </c>
      <c r="I5" s="45" t="s">
        <v>513</v>
      </c>
    </row>
    <row r="6" spans="1:9" s="24" customFormat="1" ht="18" x14ac:dyDescent="0.3">
      <c r="A6"/>
      <c r="B6" s="24" t="s">
        <v>442</v>
      </c>
      <c r="C6" s="24" t="s">
        <v>474</v>
      </c>
      <c r="D6" s="24" t="s">
        <v>493</v>
      </c>
      <c r="H6" s="24" t="s">
        <v>442</v>
      </c>
      <c r="I6" s="45" t="s">
        <v>514</v>
      </c>
    </row>
    <row r="7" spans="1:9" s="24" customFormat="1" ht="18" x14ac:dyDescent="0.3">
      <c r="A7"/>
      <c r="B7" s="24" t="s">
        <v>443</v>
      </c>
      <c r="C7" s="24" t="s">
        <v>475</v>
      </c>
      <c r="D7" s="24" t="s">
        <v>494</v>
      </c>
      <c r="H7" s="24" t="s">
        <v>443</v>
      </c>
      <c r="I7" s="45" t="s">
        <v>515</v>
      </c>
    </row>
    <row r="8" spans="1:9" s="24" customFormat="1" ht="18" x14ac:dyDescent="0.3">
      <c r="A8"/>
      <c r="B8" s="24" t="s">
        <v>444</v>
      </c>
      <c r="C8" s="24" t="s">
        <v>476</v>
      </c>
      <c r="D8" s="24" t="s">
        <v>495</v>
      </c>
      <c r="H8" s="24" t="s">
        <v>444</v>
      </c>
      <c r="I8" s="45" t="s">
        <v>516</v>
      </c>
    </row>
    <row r="9" spans="1:9" s="24" customFormat="1" ht="18" x14ac:dyDescent="0.3">
      <c r="A9"/>
      <c r="B9" s="24" t="s">
        <v>445</v>
      </c>
      <c r="C9" s="24" t="s">
        <v>477</v>
      </c>
      <c r="D9" s="24" t="s">
        <v>496</v>
      </c>
      <c r="H9" s="24" t="s">
        <v>445</v>
      </c>
      <c r="I9" s="45" t="s">
        <v>517</v>
      </c>
    </row>
    <row r="10" spans="1:9" s="24" customFormat="1" ht="18" x14ac:dyDescent="0.3">
      <c r="A10"/>
      <c r="B10" s="24" t="s">
        <v>446</v>
      </c>
      <c r="C10" s="24" t="s">
        <v>478</v>
      </c>
      <c r="D10" s="24" t="s">
        <v>497</v>
      </c>
      <c r="H10" s="24" t="s">
        <v>446</v>
      </c>
      <c r="I10" s="45" t="s">
        <v>518</v>
      </c>
    </row>
    <row r="11" spans="1:9" s="24" customFormat="1" ht="18" x14ac:dyDescent="0.3">
      <c r="A11"/>
      <c r="B11" s="24" t="s">
        <v>447</v>
      </c>
      <c r="C11" s="24" t="s">
        <v>479</v>
      </c>
      <c r="D11" s="24" t="s">
        <v>498</v>
      </c>
      <c r="H11" s="24" t="s">
        <v>447</v>
      </c>
      <c r="I11" s="45" t="s">
        <v>519</v>
      </c>
    </row>
    <row r="12" spans="1:9" s="24" customFormat="1" ht="18" x14ac:dyDescent="0.3">
      <c r="A12"/>
      <c r="B12" s="24" t="s">
        <v>448</v>
      </c>
      <c r="C12" s="24" t="s">
        <v>480</v>
      </c>
      <c r="D12" s="24" t="s">
        <v>499</v>
      </c>
      <c r="H12" s="24" t="s">
        <v>448</v>
      </c>
      <c r="I12" s="45" t="s">
        <v>520</v>
      </c>
    </row>
    <row r="13" spans="1:9" s="24" customFormat="1" ht="18" x14ac:dyDescent="0.3">
      <c r="A13"/>
      <c r="B13" s="24" t="s">
        <v>449</v>
      </c>
      <c r="C13" s="24" t="s">
        <v>481</v>
      </c>
      <c r="D13" s="24" t="s">
        <v>500</v>
      </c>
      <c r="H13" s="24" t="s">
        <v>449</v>
      </c>
      <c r="I13" s="45" t="s">
        <v>521</v>
      </c>
    </row>
    <row r="14" spans="1:9" s="24" customFormat="1" ht="18" x14ac:dyDescent="0.3">
      <c r="A14"/>
      <c r="B14" s="24" t="s">
        <v>450</v>
      </c>
      <c r="C14" s="24" t="s">
        <v>482</v>
      </c>
      <c r="D14" s="24" t="s">
        <v>501</v>
      </c>
      <c r="H14" s="24" t="s">
        <v>450</v>
      </c>
      <c r="I14" s="45" t="s">
        <v>522</v>
      </c>
    </row>
    <row r="15" spans="1:9" s="24" customFormat="1" ht="18" x14ac:dyDescent="0.3">
      <c r="A15"/>
      <c r="B15" s="24" t="s">
        <v>451</v>
      </c>
      <c r="C15" s="24" t="s">
        <v>483</v>
      </c>
      <c r="D15" s="24" t="s">
        <v>502</v>
      </c>
      <c r="H15" s="24" t="s">
        <v>451</v>
      </c>
      <c r="I15" s="45" t="s">
        <v>523</v>
      </c>
    </row>
    <row r="16" spans="1:9" s="24" customFormat="1" ht="18" x14ac:dyDescent="0.3">
      <c r="A16"/>
      <c r="B16" s="24" t="s">
        <v>452</v>
      </c>
      <c r="C16" s="24" t="s">
        <v>484</v>
      </c>
      <c r="D16" s="24" t="s">
        <v>503</v>
      </c>
      <c r="H16" s="24" t="s">
        <v>452</v>
      </c>
      <c r="I16" s="45" t="s">
        <v>524</v>
      </c>
    </row>
    <row r="17" spans="1:9" s="24" customFormat="1" ht="18" x14ac:dyDescent="0.3">
      <c r="A17"/>
      <c r="B17" s="24" t="s">
        <v>453</v>
      </c>
      <c r="C17" s="24" t="s">
        <v>485</v>
      </c>
      <c r="D17" s="24" t="s">
        <v>504</v>
      </c>
      <c r="H17" s="24" t="s">
        <v>453</v>
      </c>
      <c r="I17" s="45" t="s">
        <v>525</v>
      </c>
    </row>
    <row r="18" spans="1:9" s="24" customFormat="1" ht="18" x14ac:dyDescent="0.3">
      <c r="A18"/>
      <c r="B18" s="24" t="s">
        <v>454</v>
      </c>
      <c r="C18" s="24" t="s">
        <v>486</v>
      </c>
      <c r="D18" s="24" t="s">
        <v>505</v>
      </c>
      <c r="H18" s="24" t="s">
        <v>454</v>
      </c>
      <c r="I18" s="45" t="s">
        <v>526</v>
      </c>
    </row>
    <row r="19" spans="1:9" s="24" customFormat="1" ht="18" x14ac:dyDescent="0.3">
      <c r="A19"/>
      <c r="B19" s="24" t="s">
        <v>455</v>
      </c>
      <c r="C19" s="24" t="s">
        <v>487</v>
      </c>
      <c r="D19" s="24" t="s">
        <v>506</v>
      </c>
      <c r="H19" s="24" t="s">
        <v>455</v>
      </c>
      <c r="I19" s="45" t="s">
        <v>527</v>
      </c>
    </row>
    <row r="20" spans="1:9" s="24" customFormat="1" ht="18" x14ac:dyDescent="0.3">
      <c r="A20"/>
      <c r="B20" s="24" t="s">
        <v>456</v>
      </c>
      <c r="C20" s="24" t="s">
        <v>488</v>
      </c>
      <c r="D20" s="24" t="s">
        <v>507</v>
      </c>
      <c r="H20" s="24" t="s">
        <v>456</v>
      </c>
      <c r="I20" s="45" t="s">
        <v>528</v>
      </c>
    </row>
    <row r="21" spans="1:9" s="24" customFormat="1" ht="18" x14ac:dyDescent="0.3">
      <c r="A21"/>
      <c r="B21" s="24" t="s">
        <v>457</v>
      </c>
      <c r="C21" s="24" t="s">
        <v>489</v>
      </c>
      <c r="D21" s="24" t="s">
        <v>508</v>
      </c>
      <c r="H21" s="24" t="s">
        <v>457</v>
      </c>
      <c r="I21" s="45" t="s">
        <v>529</v>
      </c>
    </row>
    <row r="22" spans="1:9" s="24" customFormat="1" ht="18" x14ac:dyDescent="0.3">
      <c r="A22"/>
      <c r="B22" s="24" t="s">
        <v>458</v>
      </c>
      <c r="C22" s="24" t="s">
        <v>490</v>
      </c>
      <c r="D22" s="24" t="s">
        <v>509</v>
      </c>
      <c r="H22" s="24" t="s">
        <v>458</v>
      </c>
      <c r="I22" s="45" t="s">
        <v>530</v>
      </c>
    </row>
    <row r="23" spans="1:9" s="24" customFormat="1" ht="18" x14ac:dyDescent="0.3">
      <c r="A23"/>
      <c r="B23" s="24" t="s">
        <v>459</v>
      </c>
      <c r="C23" s="24" t="s">
        <v>491</v>
      </c>
      <c r="D23" s="24" t="s">
        <v>510</v>
      </c>
      <c r="H23" s="24" t="s">
        <v>459</v>
      </c>
      <c r="I23" s="45" t="s">
        <v>531</v>
      </c>
    </row>
    <row r="24" spans="1:9" s="24" customFormat="1" ht="18" x14ac:dyDescent="0.3">
      <c r="A24"/>
      <c r="B24" s="24" t="s">
        <v>460</v>
      </c>
      <c r="C24" s="24" t="s">
        <v>511</v>
      </c>
      <c r="D24" s="24" t="s">
        <v>512</v>
      </c>
      <c r="H24" s="24" t="s">
        <v>460</v>
      </c>
      <c r="I24" s="45" t="s">
        <v>532</v>
      </c>
    </row>
  </sheetData>
  <mergeCells count="1">
    <mergeCell ref="B2:I2"/>
  </mergeCells>
  <hyperlinks>
    <hyperlink ref="I5" r:id="rId1" xr:uid="{77619374-DBA6-4E4A-B541-B29FDCF14E12}"/>
    <hyperlink ref="I6" r:id="rId2" xr:uid="{F2D0C2F9-204C-4F82-8BA1-3E42D72EC13B}"/>
    <hyperlink ref="I7" r:id="rId3" xr:uid="{D2216344-47B1-4858-A7C9-F92F0EA9FFDF}"/>
    <hyperlink ref="I8" r:id="rId4" xr:uid="{2477339C-77B5-4B13-AB56-B0423F78E66B}"/>
    <hyperlink ref="I9" r:id="rId5" xr:uid="{EFCD1FE2-13C8-4286-8141-BCECBCA199F2}"/>
    <hyperlink ref="I10" r:id="rId6" xr:uid="{B57B839A-EFA3-41A6-98A3-D372FABBF65D}"/>
    <hyperlink ref="I11" r:id="rId7" xr:uid="{23888800-DEBA-4224-ACE8-C9A889CE02F3}"/>
    <hyperlink ref="I12" r:id="rId8" xr:uid="{FA217475-2A10-4EED-82C1-C26DBDEA0988}"/>
    <hyperlink ref="I13" r:id="rId9" xr:uid="{631C1CB1-667B-4D4A-BD97-0E069CAAB8F8}"/>
    <hyperlink ref="I14" r:id="rId10" xr:uid="{47B828DF-EC8D-47FB-AE01-542A8229C452}"/>
    <hyperlink ref="I15" r:id="rId11" xr:uid="{4302B2A1-1CBA-4F52-A97E-6C904DB87037}"/>
    <hyperlink ref="I16" r:id="rId12" xr:uid="{7F9DF27D-D17B-4537-87E7-1743542CB78E}"/>
    <hyperlink ref="I17" r:id="rId13" xr:uid="{36AF7629-5DC8-4F6D-9706-20D76C2AC8E7}"/>
    <hyperlink ref="I18" r:id="rId14" xr:uid="{B84898C9-F7C7-4096-9658-F6ED315E543F}"/>
    <hyperlink ref="I19" r:id="rId15" xr:uid="{B7B99902-85A8-4933-B15D-74081909ADD0}"/>
    <hyperlink ref="I20" r:id="rId16" xr:uid="{EF908CE7-EEEF-4B0F-A922-3AE21939ECF9}"/>
    <hyperlink ref="I21" r:id="rId17" xr:uid="{46F9544C-D973-40D5-895E-C6CBF4D24FA6}"/>
    <hyperlink ref="I22" r:id="rId18" xr:uid="{07904457-7F98-437F-8C9C-4D22BC08505A}"/>
    <hyperlink ref="I23" r:id="rId19" xr:uid="{EA07D0A8-80E9-4E4B-9421-A56BBFE3D133}"/>
    <hyperlink ref="I24" r:id="rId20" xr:uid="{E3AD1F9A-6DBF-4CE7-8256-81EFA8F6412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77FC-E6A0-486A-9459-60AF3DB7C44E}">
  <dimension ref="B2:M14"/>
  <sheetViews>
    <sheetView tabSelected="1" workbookViewId="0">
      <selection activeCell="J5" sqref="J5"/>
    </sheetView>
  </sheetViews>
  <sheetFormatPr defaultRowHeight="18" x14ac:dyDescent="0.3"/>
  <cols>
    <col min="1" max="1" width="8.88671875" style="24"/>
    <col min="2" max="2" width="13.33203125" style="24" bestFit="1" customWidth="1"/>
    <col min="3" max="3" width="8.88671875" style="24"/>
    <col min="4" max="4" width="13.33203125" style="24" bestFit="1" customWidth="1"/>
    <col min="5" max="7" width="8.88671875" style="24"/>
    <col min="8" max="8" width="13.33203125" style="24" bestFit="1" customWidth="1"/>
    <col min="9" max="9" width="14.21875" style="24" customWidth="1"/>
    <col min="10" max="10" width="13.33203125" style="24" bestFit="1" customWidth="1"/>
    <col min="11" max="12" width="8.88671875" style="24"/>
    <col min="13" max="13" width="13.33203125" style="24" bestFit="1" customWidth="1"/>
    <col min="14" max="16384" width="8.88671875" style="24"/>
  </cols>
  <sheetData>
    <row r="2" spans="2:13" x14ac:dyDescent="0.3">
      <c r="B2" s="63" t="s">
        <v>463</v>
      </c>
      <c r="C2" s="63"/>
      <c r="D2" s="63"/>
      <c r="E2" s="63"/>
      <c r="F2" s="63"/>
      <c r="G2" s="63"/>
      <c r="H2" s="63"/>
      <c r="I2" s="63"/>
      <c r="J2" s="63"/>
    </row>
    <row r="4" spans="2:13" x14ac:dyDescent="0.3">
      <c r="B4" s="23" t="s">
        <v>461</v>
      </c>
      <c r="C4" s="23" t="s">
        <v>462</v>
      </c>
      <c r="D4" s="23" t="s">
        <v>463</v>
      </c>
      <c r="H4" s="23" t="s">
        <v>461</v>
      </c>
      <c r="I4" s="23" t="s">
        <v>462</v>
      </c>
      <c r="J4" s="23" t="s">
        <v>463</v>
      </c>
    </row>
    <row r="5" spans="2:13" x14ac:dyDescent="0.3">
      <c r="B5" s="41">
        <v>45680</v>
      </c>
      <c r="C5" s="24">
        <v>2</v>
      </c>
      <c r="D5" s="41">
        <f>EDATE(B5,C5)</f>
        <v>45739</v>
      </c>
      <c r="H5" s="41">
        <v>45680</v>
      </c>
      <c r="I5" s="24">
        <v>2</v>
      </c>
      <c r="J5" s="41">
        <f>EDATE(H5,-I5)</f>
        <v>45619</v>
      </c>
      <c r="M5" s="41"/>
    </row>
    <row r="6" spans="2:13" x14ac:dyDescent="0.3">
      <c r="B6" s="41">
        <v>45702</v>
      </c>
      <c r="C6" s="24">
        <v>3</v>
      </c>
      <c r="D6" s="41">
        <f t="shared" ref="D6:D14" si="0">EDATE(B6,C6)</f>
        <v>45791</v>
      </c>
      <c r="H6" s="41">
        <v>45702</v>
      </c>
      <c r="I6" s="24">
        <v>3</v>
      </c>
      <c r="J6" s="41">
        <f t="shared" ref="J6:J14" si="1">EDATE(H6,-I6)</f>
        <v>45610</v>
      </c>
    </row>
    <row r="7" spans="2:13" x14ac:dyDescent="0.3">
      <c r="B7" s="41">
        <v>45723</v>
      </c>
      <c r="C7" s="24">
        <v>5</v>
      </c>
      <c r="D7" s="41">
        <f t="shared" si="0"/>
        <v>45876</v>
      </c>
      <c r="H7" s="41">
        <v>45723</v>
      </c>
      <c r="I7" s="24">
        <v>5</v>
      </c>
      <c r="J7" s="41">
        <f t="shared" si="1"/>
        <v>45572</v>
      </c>
    </row>
    <row r="8" spans="2:13" x14ac:dyDescent="0.3">
      <c r="B8" s="41">
        <v>45766</v>
      </c>
      <c r="C8" s="24">
        <v>9</v>
      </c>
      <c r="D8" s="41">
        <f t="shared" si="0"/>
        <v>46041</v>
      </c>
      <c r="H8" s="41">
        <v>45766</v>
      </c>
      <c r="I8" s="24">
        <v>9</v>
      </c>
      <c r="J8" s="41">
        <f t="shared" si="1"/>
        <v>45492</v>
      </c>
    </row>
    <row r="9" spans="2:13" x14ac:dyDescent="0.3">
      <c r="B9" s="41">
        <v>45788</v>
      </c>
      <c r="C9" s="24">
        <v>6</v>
      </c>
      <c r="D9" s="41">
        <f t="shared" si="0"/>
        <v>45972</v>
      </c>
      <c r="H9" s="41">
        <v>45788</v>
      </c>
      <c r="I9" s="24">
        <v>6</v>
      </c>
      <c r="J9" s="41">
        <f t="shared" si="1"/>
        <v>45607</v>
      </c>
    </row>
    <row r="10" spans="2:13" x14ac:dyDescent="0.3">
      <c r="B10" s="41">
        <v>45833</v>
      </c>
      <c r="C10" s="24">
        <v>2</v>
      </c>
      <c r="D10" s="41">
        <f t="shared" si="0"/>
        <v>45894</v>
      </c>
      <c r="H10" s="41">
        <v>45833</v>
      </c>
      <c r="I10" s="24">
        <v>2</v>
      </c>
      <c r="J10" s="41">
        <f t="shared" si="1"/>
        <v>45772</v>
      </c>
    </row>
    <row r="11" spans="2:13" x14ac:dyDescent="0.3">
      <c r="B11" s="41">
        <v>45868</v>
      </c>
      <c r="C11" s="24">
        <v>1</v>
      </c>
      <c r="D11" s="41">
        <f t="shared" si="0"/>
        <v>45899</v>
      </c>
      <c r="H11" s="41">
        <v>45868</v>
      </c>
      <c r="I11" s="24">
        <v>1</v>
      </c>
      <c r="J11" s="41">
        <f t="shared" si="1"/>
        <v>45838</v>
      </c>
    </row>
    <row r="12" spans="2:13" x14ac:dyDescent="0.3">
      <c r="B12" s="41">
        <v>45878</v>
      </c>
      <c r="C12" s="24">
        <v>2</v>
      </c>
      <c r="D12" s="41">
        <f t="shared" si="0"/>
        <v>45939</v>
      </c>
      <c r="H12" s="41">
        <v>45878</v>
      </c>
      <c r="I12" s="24">
        <v>2</v>
      </c>
      <c r="J12" s="41">
        <f t="shared" si="1"/>
        <v>45817</v>
      </c>
    </row>
    <row r="13" spans="2:13" x14ac:dyDescent="0.3">
      <c r="B13" s="41">
        <v>45916</v>
      </c>
      <c r="C13" s="24">
        <v>3</v>
      </c>
      <c r="D13" s="41">
        <f t="shared" si="0"/>
        <v>46007</v>
      </c>
      <c r="H13" s="41">
        <v>45916</v>
      </c>
      <c r="I13" s="24">
        <v>3</v>
      </c>
      <c r="J13" s="41">
        <f t="shared" si="1"/>
        <v>45824</v>
      </c>
    </row>
    <row r="14" spans="2:13" x14ac:dyDescent="0.3">
      <c r="B14" s="41">
        <v>45933</v>
      </c>
      <c r="C14" s="24">
        <v>1</v>
      </c>
      <c r="D14" s="41">
        <f t="shared" si="0"/>
        <v>45964</v>
      </c>
      <c r="H14" s="41">
        <v>45933</v>
      </c>
      <c r="I14" s="24">
        <v>1</v>
      </c>
      <c r="J14" s="41">
        <f t="shared" si="1"/>
        <v>45903</v>
      </c>
    </row>
  </sheetData>
  <mergeCells count="1">
    <mergeCell ref="B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1D18-8946-4193-AA05-E09E6142BBD2}">
  <dimension ref="C2:K14"/>
  <sheetViews>
    <sheetView workbookViewId="0">
      <selection activeCell="K5" sqref="K5:K14"/>
    </sheetView>
  </sheetViews>
  <sheetFormatPr defaultRowHeight="14.4" x14ac:dyDescent="0.3"/>
  <cols>
    <col min="3" max="3" width="13.33203125" bestFit="1" customWidth="1"/>
    <col min="4" max="4" width="9.109375" bestFit="1" customWidth="1"/>
    <col min="5" max="5" width="16.88671875" customWidth="1"/>
    <col min="9" max="9" width="13.33203125" bestFit="1" customWidth="1"/>
    <col min="10" max="10" width="9.109375" bestFit="1" customWidth="1"/>
    <col min="11" max="11" width="15" customWidth="1"/>
  </cols>
  <sheetData>
    <row r="2" spans="3:11" ht="18" x14ac:dyDescent="0.3">
      <c r="C2" s="63" t="s">
        <v>466</v>
      </c>
      <c r="D2" s="63"/>
      <c r="E2" s="63"/>
      <c r="F2" s="63"/>
      <c r="G2" s="63"/>
      <c r="H2" s="63"/>
      <c r="I2" s="63"/>
      <c r="J2" s="63"/>
      <c r="K2" s="63"/>
    </row>
    <row r="3" spans="3:11" ht="18" x14ac:dyDescent="0.3">
      <c r="C3" s="24"/>
      <c r="D3" s="24"/>
      <c r="E3" s="24"/>
      <c r="F3" s="24"/>
      <c r="G3" s="24"/>
      <c r="H3" s="24"/>
      <c r="I3" s="24"/>
      <c r="J3" s="24"/>
      <c r="K3" s="24"/>
    </row>
    <row r="4" spans="3:11" ht="18" x14ac:dyDescent="0.3">
      <c r="C4" s="23" t="s">
        <v>461</v>
      </c>
      <c r="D4" s="23" t="s">
        <v>467</v>
      </c>
      <c r="E4" s="23" t="s">
        <v>464</v>
      </c>
      <c r="F4" s="24"/>
      <c r="G4" s="24"/>
      <c r="H4" s="24"/>
      <c r="I4" s="23" t="s">
        <v>461</v>
      </c>
      <c r="J4" s="23" t="s">
        <v>467</v>
      </c>
      <c r="K4" s="23" t="s">
        <v>465</v>
      </c>
    </row>
    <row r="5" spans="3:11" ht="18" x14ac:dyDescent="0.3">
      <c r="C5" s="41">
        <v>45680</v>
      </c>
      <c r="D5" s="24">
        <v>10</v>
      </c>
      <c r="E5" s="41">
        <f>WORKDAY(C5,D5)</f>
        <v>45694</v>
      </c>
      <c r="F5" s="24"/>
      <c r="G5" s="24"/>
      <c r="H5" s="24"/>
      <c r="I5" s="41">
        <v>45680</v>
      </c>
      <c r="J5" s="24">
        <v>10</v>
      </c>
      <c r="K5" s="41">
        <f>WORKDAY.INTL(I5,J5,11)</f>
        <v>45692</v>
      </c>
    </row>
    <row r="6" spans="3:11" ht="18" x14ac:dyDescent="0.3">
      <c r="C6" s="41">
        <v>45702</v>
      </c>
      <c r="D6" s="24">
        <v>50</v>
      </c>
      <c r="E6" s="41">
        <f t="shared" ref="E6:E14" si="0">WORKDAY(C6,D6)</f>
        <v>45772</v>
      </c>
      <c r="F6" s="24"/>
      <c r="G6" s="24"/>
      <c r="H6" s="24"/>
      <c r="I6" s="41">
        <v>45702</v>
      </c>
      <c r="J6" s="24">
        <v>50</v>
      </c>
      <c r="K6" s="41">
        <f t="shared" ref="K6:K14" si="1">WORKDAY.INTL(I6,J6,11)</f>
        <v>45761</v>
      </c>
    </row>
    <row r="7" spans="3:11" ht="18" x14ac:dyDescent="0.3">
      <c r="C7" s="41">
        <v>45723</v>
      </c>
      <c r="D7" s="24">
        <v>40</v>
      </c>
      <c r="E7" s="41">
        <f t="shared" si="0"/>
        <v>45779</v>
      </c>
      <c r="F7" s="24"/>
      <c r="G7" s="24"/>
      <c r="H7" s="24"/>
      <c r="I7" s="41">
        <v>45723</v>
      </c>
      <c r="J7" s="24">
        <v>40</v>
      </c>
      <c r="K7" s="41">
        <f t="shared" si="1"/>
        <v>45770</v>
      </c>
    </row>
    <row r="8" spans="3:11" ht="18" x14ac:dyDescent="0.3">
      <c r="C8" s="41">
        <v>45766</v>
      </c>
      <c r="D8" s="24">
        <v>60</v>
      </c>
      <c r="E8" s="41">
        <f t="shared" si="0"/>
        <v>45849</v>
      </c>
      <c r="F8" s="24"/>
      <c r="G8" s="24"/>
      <c r="H8" s="24"/>
      <c r="I8" s="41">
        <v>45766</v>
      </c>
      <c r="J8" s="24">
        <v>60</v>
      </c>
      <c r="K8" s="41">
        <f t="shared" si="1"/>
        <v>45836</v>
      </c>
    </row>
    <row r="9" spans="3:11" ht="18" x14ac:dyDescent="0.3">
      <c r="C9" s="41">
        <v>45788</v>
      </c>
      <c r="D9" s="24">
        <v>20</v>
      </c>
      <c r="E9" s="41">
        <f t="shared" si="0"/>
        <v>45814</v>
      </c>
      <c r="F9" s="24"/>
      <c r="G9" s="24"/>
      <c r="H9" s="24"/>
      <c r="I9" s="41">
        <v>45788</v>
      </c>
      <c r="J9" s="24">
        <v>20</v>
      </c>
      <c r="K9" s="41">
        <f t="shared" si="1"/>
        <v>45811</v>
      </c>
    </row>
    <row r="10" spans="3:11" ht="18" x14ac:dyDescent="0.3">
      <c r="C10" s="41">
        <v>45833</v>
      </c>
      <c r="D10" s="24">
        <v>30</v>
      </c>
      <c r="E10" s="41">
        <f t="shared" si="0"/>
        <v>45875</v>
      </c>
      <c r="F10" s="24"/>
      <c r="G10" s="24"/>
      <c r="H10" s="24"/>
      <c r="I10" s="41">
        <v>45833</v>
      </c>
      <c r="J10" s="24">
        <v>30</v>
      </c>
      <c r="K10" s="41">
        <f t="shared" si="1"/>
        <v>45868</v>
      </c>
    </row>
    <row r="11" spans="3:11" ht="18" x14ac:dyDescent="0.3">
      <c r="C11" s="41">
        <v>45868</v>
      </c>
      <c r="D11" s="24">
        <v>45</v>
      </c>
      <c r="E11" s="41">
        <f t="shared" si="0"/>
        <v>45931</v>
      </c>
      <c r="F11" s="24"/>
      <c r="G11" s="24"/>
      <c r="H11" s="24"/>
      <c r="I11" s="41">
        <v>45868</v>
      </c>
      <c r="J11" s="24">
        <v>45</v>
      </c>
      <c r="K11" s="41">
        <f t="shared" si="1"/>
        <v>45920</v>
      </c>
    </row>
    <row r="12" spans="3:11" ht="18" x14ac:dyDescent="0.3">
      <c r="C12" s="41">
        <v>45878</v>
      </c>
      <c r="D12" s="24">
        <v>50</v>
      </c>
      <c r="E12" s="41">
        <f t="shared" si="0"/>
        <v>45947</v>
      </c>
      <c r="F12" s="24"/>
      <c r="G12" s="24"/>
      <c r="H12" s="24"/>
      <c r="I12" s="41">
        <v>45878</v>
      </c>
      <c r="J12" s="24">
        <v>50</v>
      </c>
      <c r="K12" s="41">
        <f t="shared" si="1"/>
        <v>45937</v>
      </c>
    </row>
    <row r="13" spans="3:11" ht="18" x14ac:dyDescent="0.3">
      <c r="C13" s="41">
        <v>45916</v>
      </c>
      <c r="D13" s="24">
        <v>20</v>
      </c>
      <c r="E13" s="41">
        <f t="shared" si="0"/>
        <v>45944</v>
      </c>
      <c r="F13" s="24"/>
      <c r="G13" s="24"/>
      <c r="H13" s="24"/>
      <c r="I13" s="41">
        <v>45916</v>
      </c>
      <c r="J13" s="24">
        <v>20</v>
      </c>
      <c r="K13" s="41">
        <f t="shared" si="1"/>
        <v>45939</v>
      </c>
    </row>
    <row r="14" spans="3:11" ht="18" x14ac:dyDescent="0.3">
      <c r="C14" s="41">
        <v>45933</v>
      </c>
      <c r="D14" s="24">
        <v>10</v>
      </c>
      <c r="E14" s="41">
        <f t="shared" si="0"/>
        <v>45947</v>
      </c>
      <c r="F14" s="24"/>
      <c r="G14" s="24"/>
      <c r="H14" s="24"/>
      <c r="I14" s="41">
        <v>45933</v>
      </c>
      <c r="J14" s="24">
        <v>10</v>
      </c>
      <c r="K14" s="41">
        <f t="shared" si="1"/>
        <v>45945</v>
      </c>
    </row>
  </sheetData>
  <mergeCells count="1">
    <mergeCell ref="C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4338-B5C2-4753-B4DE-38398548A203}">
  <dimension ref="C2:K14"/>
  <sheetViews>
    <sheetView workbookViewId="0">
      <selection activeCell="L16" sqref="L16"/>
    </sheetView>
  </sheetViews>
  <sheetFormatPr defaultRowHeight="14.4" x14ac:dyDescent="0.3"/>
  <cols>
    <col min="3" max="4" width="13.33203125" bestFit="1" customWidth="1"/>
    <col min="5" max="5" width="16.44140625" customWidth="1"/>
    <col min="9" max="9" width="15.88671875" customWidth="1"/>
    <col min="10" max="10" width="16.44140625" customWidth="1"/>
    <col min="11" max="11" width="20.33203125" customWidth="1"/>
  </cols>
  <sheetData>
    <row r="2" spans="3:11" ht="18" x14ac:dyDescent="0.3">
      <c r="C2" s="63" t="s">
        <v>466</v>
      </c>
      <c r="D2" s="63"/>
      <c r="E2" s="63"/>
      <c r="F2" s="63"/>
      <c r="G2" s="63"/>
      <c r="H2" s="63"/>
      <c r="I2" s="63"/>
      <c r="J2" s="63"/>
      <c r="K2" s="63"/>
    </row>
    <row r="3" spans="3:11" ht="18" x14ac:dyDescent="0.3">
      <c r="C3" s="24"/>
      <c r="D3" s="24"/>
      <c r="E3" s="24"/>
      <c r="F3" s="24"/>
      <c r="G3" s="24"/>
      <c r="H3" s="24"/>
      <c r="I3" s="24"/>
      <c r="J3" s="24"/>
      <c r="K3" s="24"/>
    </row>
    <row r="4" spans="3:11" ht="18" x14ac:dyDescent="0.3">
      <c r="C4" s="23" t="s">
        <v>470</v>
      </c>
      <c r="D4" s="23" t="s">
        <v>469</v>
      </c>
      <c r="E4" s="23" t="s">
        <v>471</v>
      </c>
      <c r="F4" s="24"/>
      <c r="G4" s="24"/>
      <c r="H4" s="24"/>
      <c r="I4" s="23" t="s">
        <v>470</v>
      </c>
      <c r="J4" s="23" t="s">
        <v>468</v>
      </c>
      <c r="K4" s="23" t="s">
        <v>472</v>
      </c>
    </row>
    <row r="5" spans="3:11" ht="18" x14ac:dyDescent="0.3">
      <c r="C5" s="41">
        <v>45680</v>
      </c>
      <c r="D5" s="41">
        <v>45800</v>
      </c>
      <c r="E5" s="24">
        <f>NETWORKDAYS(C5,D5)</f>
        <v>87</v>
      </c>
      <c r="F5" s="24"/>
      <c r="G5" s="24"/>
      <c r="H5" s="24"/>
      <c r="I5" s="41">
        <v>45680</v>
      </c>
      <c r="J5" s="41">
        <v>45800</v>
      </c>
      <c r="K5" s="24">
        <f>NETWORKDAYS.INTL(I5,J5,1)</f>
        <v>87</v>
      </c>
    </row>
    <row r="6" spans="3:11" ht="18" x14ac:dyDescent="0.3">
      <c r="C6" s="41">
        <v>45702</v>
      </c>
      <c r="D6" s="41">
        <v>45795</v>
      </c>
      <c r="E6" s="24">
        <f t="shared" ref="E6:E14" si="0">NETWORKDAYS(C6,D6)</f>
        <v>66</v>
      </c>
      <c r="F6" s="24"/>
      <c r="G6" s="24"/>
      <c r="H6" s="24"/>
      <c r="I6" s="41">
        <v>45702</v>
      </c>
      <c r="J6" s="41">
        <v>45795</v>
      </c>
      <c r="K6" s="24">
        <f t="shared" ref="K6:K14" si="1">NETWORKDAYS.INTL(I6,J6,1)</f>
        <v>66</v>
      </c>
    </row>
    <row r="7" spans="3:11" ht="18" x14ac:dyDescent="0.3">
      <c r="C7" s="41">
        <v>45723</v>
      </c>
      <c r="D7" s="41">
        <v>45857</v>
      </c>
      <c r="E7" s="24">
        <f t="shared" si="0"/>
        <v>96</v>
      </c>
      <c r="F7" s="24"/>
      <c r="G7" s="24"/>
      <c r="H7" s="24"/>
      <c r="I7" s="41">
        <v>45723</v>
      </c>
      <c r="J7" s="41">
        <v>45857</v>
      </c>
      <c r="K7" s="24">
        <f t="shared" si="1"/>
        <v>96</v>
      </c>
    </row>
    <row r="8" spans="3:11" ht="18" x14ac:dyDescent="0.3">
      <c r="C8" s="41">
        <v>45766</v>
      </c>
      <c r="D8" s="41">
        <v>46016</v>
      </c>
      <c r="E8" s="24">
        <f t="shared" si="0"/>
        <v>179</v>
      </c>
      <c r="F8" s="24"/>
      <c r="G8" s="24"/>
      <c r="H8" s="24"/>
      <c r="I8" s="41">
        <v>45766</v>
      </c>
      <c r="J8" s="41">
        <v>46016</v>
      </c>
      <c r="K8" s="24">
        <f t="shared" si="1"/>
        <v>179</v>
      </c>
    </row>
    <row r="9" spans="3:11" ht="18" x14ac:dyDescent="0.3">
      <c r="C9" s="41">
        <v>45788</v>
      </c>
      <c r="D9" s="41">
        <v>45916</v>
      </c>
      <c r="E9" s="24">
        <f t="shared" si="0"/>
        <v>92</v>
      </c>
      <c r="F9" s="24"/>
      <c r="G9" s="24"/>
      <c r="H9" s="24"/>
      <c r="I9" s="41">
        <v>45788</v>
      </c>
      <c r="J9" s="41">
        <v>45916</v>
      </c>
      <c r="K9" s="24">
        <f t="shared" si="1"/>
        <v>92</v>
      </c>
    </row>
    <row r="10" spans="3:11" ht="18" x14ac:dyDescent="0.3">
      <c r="C10" s="41">
        <v>45833</v>
      </c>
      <c r="D10" s="41">
        <v>46037</v>
      </c>
      <c r="E10" s="24">
        <f t="shared" si="0"/>
        <v>147</v>
      </c>
      <c r="F10" s="24"/>
      <c r="G10" s="24"/>
      <c r="H10" s="24"/>
      <c r="I10" s="41">
        <v>45833</v>
      </c>
      <c r="J10" s="41">
        <v>46037</v>
      </c>
      <c r="K10" s="24">
        <f t="shared" si="1"/>
        <v>147</v>
      </c>
    </row>
    <row r="11" spans="3:11" ht="18" x14ac:dyDescent="0.3">
      <c r="C11" s="41">
        <v>45868</v>
      </c>
      <c r="D11" s="41">
        <v>46068</v>
      </c>
      <c r="E11" s="24">
        <f t="shared" si="0"/>
        <v>143</v>
      </c>
      <c r="F11" s="24"/>
      <c r="G11" s="24"/>
      <c r="H11" s="24"/>
      <c r="I11" s="41">
        <v>45868</v>
      </c>
      <c r="J11" s="41">
        <v>46068</v>
      </c>
      <c r="K11" s="24">
        <f t="shared" si="1"/>
        <v>143</v>
      </c>
    </row>
    <row r="12" spans="3:11" ht="18" x14ac:dyDescent="0.3">
      <c r="C12" s="41">
        <v>45878</v>
      </c>
      <c r="D12" s="41">
        <v>46006</v>
      </c>
      <c r="E12" s="24">
        <f t="shared" si="0"/>
        <v>91</v>
      </c>
      <c r="F12" s="24"/>
      <c r="G12" s="24"/>
      <c r="H12" s="24"/>
      <c r="I12" s="41">
        <v>45878</v>
      </c>
      <c r="J12" s="41">
        <v>46006</v>
      </c>
      <c r="K12" s="24">
        <f t="shared" si="1"/>
        <v>91</v>
      </c>
    </row>
    <row r="13" spans="3:11" ht="18" x14ac:dyDescent="0.3">
      <c r="C13" s="41">
        <v>45916</v>
      </c>
      <c r="D13" s="41">
        <v>46010</v>
      </c>
      <c r="E13" s="24">
        <f t="shared" si="0"/>
        <v>69</v>
      </c>
      <c r="F13" s="24"/>
      <c r="G13" s="24"/>
      <c r="H13" s="24"/>
      <c r="I13" s="41">
        <v>45916</v>
      </c>
      <c r="J13" s="41">
        <v>46010</v>
      </c>
      <c r="K13" s="24">
        <f t="shared" si="1"/>
        <v>69</v>
      </c>
    </row>
    <row r="14" spans="3:11" ht="18" x14ac:dyDescent="0.3">
      <c r="C14" s="41">
        <v>45933</v>
      </c>
      <c r="D14" s="41">
        <v>46034</v>
      </c>
      <c r="E14" s="24">
        <f t="shared" si="0"/>
        <v>72</v>
      </c>
      <c r="F14" s="24"/>
      <c r="G14" s="24"/>
      <c r="H14" s="24"/>
      <c r="I14" s="41">
        <v>45933</v>
      </c>
      <c r="J14" s="41">
        <v>46034</v>
      </c>
      <c r="K14" s="24">
        <f t="shared" si="1"/>
        <v>72</v>
      </c>
    </row>
  </sheetData>
  <mergeCells count="1">
    <mergeCell ref="C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Duplicate actual</vt:lpstr>
      <vt:lpstr>actual</vt:lpstr>
      <vt:lpstr>pivot table</vt:lpstr>
      <vt:lpstr>pivot chart</vt:lpstr>
      <vt:lpstr>vlookup</vt:lpstr>
      <vt:lpstr>xlookup</vt:lpstr>
      <vt:lpstr>Index + Match </vt:lpstr>
      <vt:lpstr>Filter</vt:lpstr>
      <vt:lpstr>Dget</vt:lpstr>
      <vt:lpstr>Dsum</vt:lpstr>
      <vt:lpstr>Large ,small</vt:lpstr>
      <vt:lpstr>Sequence</vt:lpstr>
      <vt:lpstr>Sumifs</vt:lpstr>
      <vt:lpstr>Flashfill</vt:lpstr>
      <vt:lpstr>Edate</vt:lpstr>
      <vt:lpstr>Workdays</vt:lpstr>
      <vt:lpstr>Netwrokdays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S SHARUN</cp:lastModifiedBy>
  <dcterms:created xsi:type="dcterms:W3CDTF">2025-01-17T06:47:54Z</dcterms:created>
  <dcterms:modified xsi:type="dcterms:W3CDTF">2026-01-13T08:02:51Z</dcterms:modified>
</cp:coreProperties>
</file>